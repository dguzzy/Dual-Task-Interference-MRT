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15992c7c7ced3e3/Desktop/Spring '26/ESI4610/"/>
    </mc:Choice>
  </mc:AlternateContent>
  <xr:revisionPtr revIDLastSave="0" documentId="8_{1F3B5479-03DC-4488-8B7A-6D974DD6686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llected Data" sheetId="1" r:id="rId1"/>
    <sheet name="Data Collection" sheetId="2" r:id="rId2"/>
    <sheet name="DATA COLLECTION NEW" sheetId="5" r:id="rId3"/>
    <sheet name="ANOVA" sheetId="3" r:id="rId4"/>
    <sheet name="Simulated Data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2" l="1"/>
  <c r="I58" i="2"/>
  <c r="I59" i="2"/>
  <c r="I61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H57" i="2"/>
  <c r="H58" i="2"/>
  <c r="H59" i="2"/>
  <c r="H61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G57" i="2"/>
  <c r="G58" i="2"/>
  <c r="G59" i="2"/>
  <c r="G61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56" i="2"/>
  <c r="H56" i="2"/>
  <c r="I56" i="2"/>
  <c r="F57" i="2"/>
  <c r="F58" i="2"/>
  <c r="F59" i="2"/>
  <c r="F61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56" i="2"/>
  <c r="J201" i="3"/>
  <c r="B201" i="3"/>
  <c r="D201" i="3" s="1"/>
  <c r="A201" i="3" a="1"/>
  <c r="A201" i="3" s="1"/>
  <c r="J200" i="3"/>
  <c r="B200" i="3"/>
  <c r="D200" i="3" s="1"/>
  <c r="A200" i="3" a="1"/>
  <c r="A200" i="3" s="1"/>
  <c r="J199" i="3"/>
  <c r="B199" i="3"/>
  <c r="D199" i="3" s="1"/>
  <c r="A199" i="3" a="1"/>
  <c r="A199" i="3"/>
  <c r="J198" i="3"/>
  <c r="C198" i="3"/>
  <c r="B198" i="3"/>
  <c r="D198" i="3" s="1"/>
  <c r="A198" i="3" a="1"/>
  <c r="A198" i="3" s="1"/>
  <c r="J197" i="3"/>
  <c r="C197" i="3"/>
  <c r="B197" i="3"/>
  <c r="D197" i="3" s="1"/>
  <c r="A197" i="3" a="1"/>
  <c r="A197" i="3" s="1"/>
  <c r="J196" i="3"/>
  <c r="C196" i="3"/>
  <c r="B196" i="3"/>
  <c r="D196" i="3" s="1"/>
  <c r="A196" i="3" a="1"/>
  <c r="A196" i="3" s="1"/>
  <c r="J195" i="3"/>
  <c r="F195" i="3" a="1"/>
  <c r="F195" i="3" s="1"/>
  <c r="D195" i="3"/>
  <c r="C195" i="3"/>
  <c r="B195" i="3"/>
  <c r="A195" i="3" a="1"/>
  <c r="A195" i="3" s="1"/>
  <c r="E195" i="3" s="1" a="1"/>
  <c r="E195" i="3" s="1"/>
  <c r="J194" i="3"/>
  <c r="B194" i="3"/>
  <c r="A194" i="3" a="1"/>
  <c r="A194" i="3" s="1"/>
  <c r="J193" i="3"/>
  <c r="D193" i="3"/>
  <c r="C193" i="3"/>
  <c r="B193" i="3"/>
  <c r="A193" i="3" a="1"/>
  <c r="A193" i="3" s="1"/>
  <c r="J192" i="3"/>
  <c r="C192" i="3"/>
  <c r="B192" i="3"/>
  <c r="D192" i="3" s="1"/>
  <c r="A192" i="3" a="1"/>
  <c r="A192" i="3" s="1"/>
  <c r="J191" i="3"/>
  <c r="D191" i="3"/>
  <c r="C191" i="3"/>
  <c r="B191" i="3"/>
  <c r="A191" i="3" a="1"/>
  <c r="A191" i="3" s="1"/>
  <c r="E191" i="3" s="1" a="1"/>
  <c r="E191" i="3" s="1"/>
  <c r="J190" i="3"/>
  <c r="C190" i="3"/>
  <c r="B190" i="3"/>
  <c r="D190" i="3" s="1"/>
  <c r="A190" i="3" a="1"/>
  <c r="A190" i="3" s="1"/>
  <c r="J189" i="3"/>
  <c r="D189" i="3"/>
  <c r="C189" i="3"/>
  <c r="B189" i="3"/>
  <c r="A189" i="3" a="1"/>
  <c r="A189" i="3"/>
  <c r="J188" i="3"/>
  <c r="B188" i="3"/>
  <c r="A188" i="3" a="1"/>
  <c r="A188" i="3" s="1"/>
  <c r="J187" i="3"/>
  <c r="D187" i="3"/>
  <c r="C187" i="3"/>
  <c r="B187" i="3"/>
  <c r="A187" i="3" a="1"/>
  <c r="A187" i="3" s="1"/>
  <c r="J186" i="3"/>
  <c r="C186" i="3"/>
  <c r="B186" i="3"/>
  <c r="D186" i="3" s="1"/>
  <c r="A186" i="3" a="1"/>
  <c r="A186" i="3" s="1"/>
  <c r="F186" i="3" s="1" a="1"/>
  <c r="F186" i="3" s="1"/>
  <c r="J185" i="3"/>
  <c r="D185" i="3"/>
  <c r="C185" i="3"/>
  <c r="B185" i="3"/>
  <c r="A185" i="3" a="1"/>
  <c r="A185" i="3" s="1"/>
  <c r="E185" i="3" s="1" a="1"/>
  <c r="E185" i="3" s="1"/>
  <c r="J184" i="3"/>
  <c r="C184" i="3"/>
  <c r="B184" i="3"/>
  <c r="D184" i="3" s="1"/>
  <c r="A184" i="3" a="1"/>
  <c r="A184" i="3" s="1"/>
  <c r="J183" i="3"/>
  <c r="D183" i="3"/>
  <c r="C183" i="3"/>
  <c r="B183" i="3"/>
  <c r="A183" i="3" a="1"/>
  <c r="A183" i="3"/>
  <c r="J182" i="3"/>
  <c r="B182" i="3"/>
  <c r="A182" i="3" a="1"/>
  <c r="A182" i="3" s="1"/>
  <c r="F182" i="3" s="1" a="1"/>
  <c r="F182" i="3" s="1"/>
  <c r="J181" i="3"/>
  <c r="D181" i="3"/>
  <c r="C181" i="3"/>
  <c r="B181" i="3"/>
  <c r="A181" i="3" a="1"/>
  <c r="A181" i="3" s="1"/>
  <c r="J180" i="3"/>
  <c r="C180" i="3"/>
  <c r="B180" i="3"/>
  <c r="D180" i="3" s="1"/>
  <c r="A180" i="3" a="1"/>
  <c r="A180" i="3" s="1"/>
  <c r="F180" i="3" s="1" a="1"/>
  <c r="F180" i="3" s="1"/>
  <c r="J179" i="3"/>
  <c r="D179" i="3"/>
  <c r="C179" i="3"/>
  <c r="B179" i="3"/>
  <c r="A179" i="3" a="1"/>
  <c r="A179" i="3" s="1"/>
  <c r="J178" i="3"/>
  <c r="C178" i="3"/>
  <c r="B178" i="3"/>
  <c r="D178" i="3" s="1"/>
  <c r="A178" i="3" a="1"/>
  <c r="A178" i="3" s="1"/>
  <c r="J177" i="3"/>
  <c r="D177" i="3"/>
  <c r="C177" i="3"/>
  <c r="B177" i="3"/>
  <c r="A177" i="3" a="1"/>
  <c r="A177" i="3" s="1"/>
  <c r="J176" i="3"/>
  <c r="B176" i="3"/>
  <c r="A176" i="3" a="1"/>
  <c r="A176" i="3" s="1"/>
  <c r="J175" i="3"/>
  <c r="D175" i="3"/>
  <c r="C175" i="3"/>
  <c r="B175" i="3"/>
  <c r="A175" i="3" a="1"/>
  <c r="A175" i="3" s="1"/>
  <c r="J174" i="3"/>
  <c r="E174" i="3" a="1"/>
  <c r="E174" i="3" s="1"/>
  <c r="C174" i="3"/>
  <c r="B174" i="3"/>
  <c r="D174" i="3" s="1"/>
  <c r="A174" i="3" a="1"/>
  <c r="A174" i="3" s="1"/>
  <c r="F174" i="3" s="1" a="1"/>
  <c r="F174" i="3" s="1"/>
  <c r="J173" i="3"/>
  <c r="D173" i="3"/>
  <c r="C173" i="3"/>
  <c r="B173" i="3"/>
  <c r="A173" i="3" a="1"/>
  <c r="A173" i="3"/>
  <c r="E173" i="3" s="1" a="1"/>
  <c r="E173" i="3" s="1"/>
  <c r="J172" i="3"/>
  <c r="C172" i="3"/>
  <c r="B172" i="3"/>
  <c r="D172" i="3" s="1"/>
  <c r="A172" i="3" a="1"/>
  <c r="A172" i="3" s="1"/>
  <c r="J171" i="3"/>
  <c r="D171" i="3"/>
  <c r="C171" i="3"/>
  <c r="B171" i="3"/>
  <c r="A171" i="3" a="1"/>
  <c r="A171" i="3"/>
  <c r="J170" i="3"/>
  <c r="B170" i="3"/>
  <c r="A170" i="3" a="1"/>
  <c r="A170" i="3" s="1"/>
  <c r="F170" i="3" s="1" a="1"/>
  <c r="F170" i="3" s="1"/>
  <c r="J169" i="3"/>
  <c r="D169" i="3"/>
  <c r="C169" i="3"/>
  <c r="B169" i="3"/>
  <c r="A169" i="3" a="1"/>
  <c r="A169" i="3" s="1"/>
  <c r="J168" i="3"/>
  <c r="C168" i="3"/>
  <c r="B168" i="3"/>
  <c r="D168" i="3" s="1"/>
  <c r="A168" i="3" a="1"/>
  <c r="A168" i="3" s="1"/>
  <c r="F168" i="3" s="1" a="1"/>
  <c r="F168" i="3" s="1"/>
  <c r="J167" i="3"/>
  <c r="D167" i="3"/>
  <c r="C167" i="3"/>
  <c r="B167" i="3"/>
  <c r="A167" i="3" a="1"/>
  <c r="A167" i="3" s="1"/>
  <c r="J166" i="3"/>
  <c r="C166" i="3"/>
  <c r="B166" i="3"/>
  <c r="D166" i="3" s="1"/>
  <c r="A166" i="3" a="1"/>
  <c r="A166" i="3" s="1"/>
  <c r="J165" i="3"/>
  <c r="D165" i="3"/>
  <c r="C165" i="3"/>
  <c r="B165" i="3"/>
  <c r="A165" i="3" a="1"/>
  <c r="A165" i="3" s="1"/>
  <c r="J164" i="3"/>
  <c r="B164" i="3"/>
  <c r="A164" i="3" a="1"/>
  <c r="A164" i="3" s="1"/>
  <c r="J163" i="3"/>
  <c r="D163" i="3"/>
  <c r="C163" i="3"/>
  <c r="B163" i="3"/>
  <c r="A163" i="3" a="1"/>
  <c r="A163" i="3" s="1"/>
  <c r="J162" i="3"/>
  <c r="C162" i="3"/>
  <c r="B162" i="3"/>
  <c r="D162" i="3" s="1"/>
  <c r="A162" i="3" a="1"/>
  <c r="A162" i="3" s="1"/>
  <c r="C161" i="3"/>
  <c r="B161" i="3"/>
  <c r="D161" i="3" s="1"/>
  <c r="A161" i="3" a="1"/>
  <c r="A161" i="3" s="1"/>
  <c r="C160" i="3"/>
  <c r="B160" i="3"/>
  <c r="D160" i="3" s="1"/>
  <c r="A160" i="3" a="1"/>
  <c r="A160" i="3" s="1"/>
  <c r="C159" i="3"/>
  <c r="B159" i="3"/>
  <c r="D159" i="3" s="1"/>
  <c r="A159" i="3" a="1"/>
  <c r="A159" i="3" s="1"/>
  <c r="E159" i="3" s="1" a="1"/>
  <c r="E159" i="3" s="1"/>
  <c r="C158" i="3"/>
  <c r="B158" i="3"/>
  <c r="D158" i="3" s="1"/>
  <c r="A158" i="3" a="1"/>
  <c r="A158" i="3" s="1"/>
  <c r="C157" i="3"/>
  <c r="B157" i="3"/>
  <c r="D157" i="3" s="1"/>
  <c r="A157" i="3" a="1"/>
  <c r="A157" i="3" s="1"/>
  <c r="C156" i="3"/>
  <c r="B156" i="3"/>
  <c r="D156" i="3" s="1"/>
  <c r="A156" i="3" a="1"/>
  <c r="A156" i="3" s="1"/>
  <c r="I156" i="3" s="1" a="1"/>
  <c r="I156" i="3" s="1"/>
  <c r="C155" i="3"/>
  <c r="B155" i="3"/>
  <c r="D155" i="3" s="1"/>
  <c r="A155" i="3" a="1"/>
  <c r="A155" i="3" s="1"/>
  <c r="I155" i="3" s="1" a="1"/>
  <c r="I155" i="3" s="1"/>
  <c r="C154" i="3"/>
  <c r="B154" i="3"/>
  <c r="D154" i="3" s="1"/>
  <c r="A154" i="3" a="1"/>
  <c r="A154" i="3" s="1"/>
  <c r="B153" i="3"/>
  <c r="A153" i="3" a="1"/>
  <c r="A153" i="3" s="1"/>
  <c r="D152" i="3"/>
  <c r="C152" i="3"/>
  <c r="B152" i="3"/>
  <c r="A152" i="3" a="1"/>
  <c r="A152" i="3" s="1"/>
  <c r="B151" i="3"/>
  <c r="A151" i="3" a="1"/>
  <c r="A151" i="3" s="1"/>
  <c r="H150" i="3" a="1"/>
  <c r="H150" i="3" s="1"/>
  <c r="D150" i="3"/>
  <c r="C150" i="3"/>
  <c r="B150" i="3"/>
  <c r="A150" i="3" a="1"/>
  <c r="A150" i="3"/>
  <c r="E150" i="3" s="1" a="1"/>
  <c r="E150" i="3" s="1"/>
  <c r="D149" i="3"/>
  <c r="C149" i="3"/>
  <c r="B149" i="3"/>
  <c r="A149" i="3" a="1"/>
  <c r="A149" i="3" s="1"/>
  <c r="G149" i="3" s="1" a="1"/>
  <c r="G149" i="3" s="1"/>
  <c r="B148" i="3"/>
  <c r="A148" i="3" a="1"/>
  <c r="A148" i="3" s="1"/>
  <c r="F148" i="3" s="1" a="1"/>
  <c r="F148" i="3" s="1"/>
  <c r="D147" i="3"/>
  <c r="C147" i="3"/>
  <c r="B147" i="3"/>
  <c r="A147" i="3" a="1"/>
  <c r="A147" i="3"/>
  <c r="D146" i="3"/>
  <c r="C146" i="3"/>
  <c r="B146" i="3"/>
  <c r="A146" i="3" a="1"/>
  <c r="A146" i="3" s="1"/>
  <c r="F146" i="3" s="1" a="1"/>
  <c r="F146" i="3" s="1"/>
  <c r="B145" i="3"/>
  <c r="A145" i="3" a="1"/>
  <c r="A145" i="3" s="1"/>
  <c r="D144" i="3"/>
  <c r="C144" i="3"/>
  <c r="B144" i="3"/>
  <c r="A144" i="3" a="1"/>
  <c r="A144" i="3" s="1"/>
  <c r="D143" i="3"/>
  <c r="C143" i="3"/>
  <c r="B143" i="3"/>
  <c r="A143" i="3" a="1"/>
  <c r="A143" i="3" s="1"/>
  <c r="I142" i="3" a="1"/>
  <c r="I142" i="3"/>
  <c r="H142" i="3" a="1"/>
  <c r="H142" i="3" s="1"/>
  <c r="B142" i="3"/>
  <c r="A142" i="3" a="1"/>
  <c r="A142" i="3" s="1"/>
  <c r="D141" i="3"/>
  <c r="C141" i="3"/>
  <c r="B141" i="3"/>
  <c r="A141" i="3" a="1"/>
  <c r="A141" i="3" s="1"/>
  <c r="H141" i="3" s="1" a="1"/>
  <c r="H141" i="3" s="1"/>
  <c r="D140" i="3"/>
  <c r="C140" i="3"/>
  <c r="B140" i="3"/>
  <c r="A140" i="3" a="1"/>
  <c r="A140" i="3" s="1"/>
  <c r="B139" i="3"/>
  <c r="A139" i="3" a="1"/>
  <c r="A139" i="3" s="1"/>
  <c r="D138" i="3"/>
  <c r="C138" i="3"/>
  <c r="B138" i="3"/>
  <c r="A138" i="3" a="1"/>
  <c r="A138" i="3" s="1"/>
  <c r="G138" i="3" s="1" a="1"/>
  <c r="G138" i="3" s="1"/>
  <c r="B137" i="3"/>
  <c r="A137" i="3" a="1"/>
  <c r="A137" i="3" s="1"/>
  <c r="G137" i="3" s="1" a="1"/>
  <c r="G137" i="3" s="1"/>
  <c r="B136" i="3"/>
  <c r="A136" i="3" a="1"/>
  <c r="A136" i="3" s="1"/>
  <c r="I136" i="3" s="1" a="1"/>
  <c r="I136" i="3" s="1"/>
  <c r="D135" i="3"/>
  <c r="C135" i="3"/>
  <c r="B135" i="3"/>
  <c r="A135" i="3" a="1"/>
  <c r="A135" i="3" s="1"/>
  <c r="H135" i="3" s="1" a="1"/>
  <c r="H135" i="3" s="1"/>
  <c r="C134" i="3"/>
  <c r="B134" i="3"/>
  <c r="D134" i="3" s="1"/>
  <c r="A134" i="3" a="1"/>
  <c r="A134" i="3" s="1"/>
  <c r="B133" i="3"/>
  <c r="A133" i="3" a="1"/>
  <c r="A133" i="3"/>
  <c r="I133" i="3" s="1" a="1"/>
  <c r="I133" i="3" s="1"/>
  <c r="D132" i="3"/>
  <c r="C132" i="3"/>
  <c r="B132" i="3"/>
  <c r="A132" i="3" a="1"/>
  <c r="A132" i="3" s="1"/>
  <c r="H132" i="3" s="1" a="1"/>
  <c r="H132" i="3" s="1"/>
  <c r="B131" i="3"/>
  <c r="A131" i="3" a="1"/>
  <c r="A131" i="3" s="1"/>
  <c r="B130" i="3"/>
  <c r="A130" i="3" a="1"/>
  <c r="A130" i="3"/>
  <c r="E130" i="3" s="1" a="1"/>
  <c r="E130" i="3" s="1"/>
  <c r="D129" i="3"/>
  <c r="C129" i="3"/>
  <c r="B129" i="3"/>
  <c r="A129" i="3" a="1"/>
  <c r="A129" i="3" s="1"/>
  <c r="G128" i="3" a="1"/>
  <c r="G128" i="3" s="1"/>
  <c r="F128" i="3" a="1"/>
  <c r="F128" i="3" s="1"/>
  <c r="D128" i="3"/>
  <c r="C128" i="3"/>
  <c r="B128" i="3"/>
  <c r="A128" i="3" a="1"/>
  <c r="A128" i="3" s="1"/>
  <c r="H128" i="3" s="1" a="1"/>
  <c r="H128" i="3" s="1"/>
  <c r="B127" i="3"/>
  <c r="A127" i="3" a="1"/>
  <c r="A127" i="3" s="1"/>
  <c r="I127" i="3" s="1" a="1"/>
  <c r="I127" i="3" s="1"/>
  <c r="D126" i="3"/>
  <c r="C126" i="3"/>
  <c r="B126" i="3"/>
  <c r="A126" i="3" a="1"/>
  <c r="A126" i="3"/>
  <c r="E126" i="3" s="1" a="1"/>
  <c r="E126" i="3" s="1"/>
  <c r="B125" i="3"/>
  <c r="A125" i="3" a="1"/>
  <c r="A125" i="3" s="1"/>
  <c r="B124" i="3"/>
  <c r="A124" i="3" a="1"/>
  <c r="A124" i="3" s="1"/>
  <c r="B123" i="3"/>
  <c r="A123" i="3" a="1"/>
  <c r="A123" i="3"/>
  <c r="H123" i="3" s="1" a="1"/>
  <c r="H123" i="3" s="1"/>
  <c r="B122" i="3"/>
  <c r="C122" i="3" s="1"/>
  <c r="A122" i="3" a="1"/>
  <c r="A122" i="3" s="1"/>
  <c r="B121" i="3"/>
  <c r="A121" i="3" a="1"/>
  <c r="A121" i="3" s="1"/>
  <c r="B120" i="3"/>
  <c r="A120" i="3" a="1"/>
  <c r="A120" i="3" s="1"/>
  <c r="D119" i="3"/>
  <c r="C119" i="3"/>
  <c r="B119" i="3"/>
  <c r="A119" i="3" a="1"/>
  <c r="A119" i="3" s="1"/>
  <c r="H119" i="3" s="1" a="1"/>
  <c r="H119" i="3" s="1"/>
  <c r="B118" i="3"/>
  <c r="A118" i="3" a="1"/>
  <c r="A118" i="3" s="1"/>
  <c r="G118" i="3" s="1" a="1"/>
  <c r="G118" i="3" s="1"/>
  <c r="D117" i="3"/>
  <c r="C117" i="3"/>
  <c r="B117" i="3"/>
  <c r="A117" i="3" a="1"/>
  <c r="A117" i="3"/>
  <c r="B116" i="3"/>
  <c r="A116" i="3" a="1"/>
  <c r="A116" i="3" s="1"/>
  <c r="I116" i="3" s="1" a="1"/>
  <c r="I116" i="3" s="1"/>
  <c r="B115" i="3"/>
  <c r="A115" i="3" a="1"/>
  <c r="A115" i="3"/>
  <c r="D114" i="3"/>
  <c r="B114" i="3"/>
  <c r="C114" i="3" s="1"/>
  <c r="A114" i="3" a="1"/>
  <c r="A114" i="3"/>
  <c r="B113" i="3"/>
  <c r="C113" i="3" s="1"/>
  <c r="A113" i="3" a="1"/>
  <c r="A113" i="3" s="1"/>
  <c r="I113" i="3" s="1" a="1"/>
  <c r="I113" i="3" s="1"/>
  <c r="B112" i="3"/>
  <c r="A112" i="3" a="1"/>
  <c r="A112" i="3" s="1"/>
  <c r="E112" i="3" s="1" a="1"/>
  <c r="E112" i="3" s="1"/>
  <c r="B111" i="3"/>
  <c r="A111" i="3" a="1"/>
  <c r="A111" i="3" s="1"/>
  <c r="D110" i="3"/>
  <c r="C110" i="3"/>
  <c r="B110" i="3"/>
  <c r="A110" i="3" a="1"/>
  <c r="A110" i="3" s="1"/>
  <c r="H110" i="3" s="1" a="1"/>
  <c r="H110" i="3" s="1"/>
  <c r="B109" i="3"/>
  <c r="A109" i="3" a="1"/>
  <c r="A109" i="3" s="1"/>
  <c r="F109" i="3" s="1" a="1"/>
  <c r="F109" i="3" s="1"/>
  <c r="D108" i="3"/>
  <c r="C108" i="3"/>
  <c r="B108" i="3"/>
  <c r="A108" i="3" a="1"/>
  <c r="A108" i="3" s="1"/>
  <c r="B107" i="3"/>
  <c r="A107" i="3" a="1"/>
  <c r="A107" i="3" s="1"/>
  <c r="I107" i="3" s="1" a="1"/>
  <c r="I107" i="3" s="1"/>
  <c r="B106" i="3"/>
  <c r="A106" i="3" a="1"/>
  <c r="A106" i="3" s="1"/>
  <c r="G106" i="3" s="1" a="1"/>
  <c r="G106" i="3" s="1"/>
  <c r="B105" i="3"/>
  <c r="C105" i="3" s="1"/>
  <c r="A105" i="3" a="1"/>
  <c r="A105" i="3"/>
  <c r="B104" i="3"/>
  <c r="D104" i="3" s="1"/>
  <c r="A104" i="3" a="1"/>
  <c r="A104" i="3" s="1"/>
  <c r="D103" i="3"/>
  <c r="B103" i="3"/>
  <c r="C103" i="3" s="1"/>
  <c r="A103" i="3" a="1"/>
  <c r="A103" i="3" s="1"/>
  <c r="I103" i="3" s="1" a="1"/>
  <c r="I103" i="3" s="1"/>
  <c r="B102" i="3"/>
  <c r="A102" i="3" a="1"/>
  <c r="A102" i="3"/>
  <c r="I102" i="3" s="1" a="1"/>
  <c r="I102" i="3" s="1"/>
  <c r="C101" i="3"/>
  <c r="B101" i="3"/>
  <c r="D101" i="3" s="1"/>
  <c r="A101" i="3" a="1"/>
  <c r="A101" i="3" s="1"/>
  <c r="F101" i="3" s="1" a="1"/>
  <c r="F101" i="3" s="1"/>
  <c r="B100" i="3"/>
  <c r="D100" i="3" s="1"/>
  <c r="A100" i="3" a="1"/>
  <c r="A100" i="3" s="1"/>
  <c r="D99" i="3"/>
  <c r="B99" i="3"/>
  <c r="A99" i="3" a="1"/>
  <c r="A99" i="3" s="1"/>
  <c r="C98" i="3"/>
  <c r="B98" i="3"/>
  <c r="D98" i="3" s="1"/>
  <c r="A98" i="3" a="1"/>
  <c r="A98" i="3" s="1"/>
  <c r="D97" i="3"/>
  <c r="C97" i="3"/>
  <c r="B97" i="3"/>
  <c r="A97" i="3" a="1"/>
  <c r="A97" i="3"/>
  <c r="G97" i="3" s="1" a="1"/>
  <c r="G97" i="3" s="1"/>
  <c r="B96" i="3"/>
  <c r="A96" i="3" a="1"/>
  <c r="A96" i="3" s="1"/>
  <c r="C95" i="3"/>
  <c r="B95" i="3"/>
  <c r="D95" i="3" s="1"/>
  <c r="A95" i="3" a="1"/>
  <c r="A95" i="3" s="1"/>
  <c r="D94" i="3"/>
  <c r="B94" i="3"/>
  <c r="C94" i="3" s="1"/>
  <c r="A94" i="3" a="1"/>
  <c r="A94" i="3"/>
  <c r="F94" i="3" s="1" a="1"/>
  <c r="F94" i="3" s="1"/>
  <c r="B93" i="3"/>
  <c r="C93" i="3" s="1"/>
  <c r="A93" i="3" a="1"/>
  <c r="A93" i="3" s="1"/>
  <c r="B92" i="3"/>
  <c r="D92" i="3" s="1"/>
  <c r="A92" i="3" a="1"/>
  <c r="A92" i="3" s="1"/>
  <c r="I92" i="3" s="1" a="1"/>
  <c r="I92" i="3" s="1"/>
  <c r="B91" i="3"/>
  <c r="D91" i="3" s="1"/>
  <c r="A91" i="3" a="1"/>
  <c r="A91" i="3"/>
  <c r="B90" i="3"/>
  <c r="C90" i="3" s="1"/>
  <c r="A90" i="3" a="1"/>
  <c r="A90" i="3" s="1"/>
  <c r="I90" i="3" s="1" a="1"/>
  <c r="I90" i="3" s="1"/>
  <c r="B89" i="3"/>
  <c r="D89" i="3" s="1"/>
  <c r="A89" i="3" a="1"/>
  <c r="A89" i="3" s="1"/>
  <c r="B88" i="3"/>
  <c r="A88" i="3" a="1"/>
  <c r="A88" i="3" s="1"/>
  <c r="D87" i="3"/>
  <c r="C87" i="3"/>
  <c r="B87" i="3"/>
  <c r="A87" i="3" a="1"/>
  <c r="A87" i="3" s="1"/>
  <c r="B86" i="3"/>
  <c r="A86" i="3" a="1"/>
  <c r="A86" i="3" s="1"/>
  <c r="D85" i="3"/>
  <c r="B85" i="3"/>
  <c r="C85" i="3" s="1"/>
  <c r="A85" i="3" a="1"/>
  <c r="A85" i="3" s="1"/>
  <c r="H84" i="3"/>
  <c r="G84" i="3" a="1"/>
  <c r="G84" i="3"/>
  <c r="F84" i="3" a="1"/>
  <c r="F84" i="3" s="1"/>
  <c r="E84" i="3" a="1"/>
  <c r="E84" i="3" s="1"/>
  <c r="D84" i="3"/>
  <c r="C84" i="3"/>
  <c r="B84" i="3"/>
  <c r="A84" i="3" a="1"/>
  <c r="A84" i="3" s="1"/>
  <c r="H84" i="3" s="1" a="1"/>
  <c r="B83" i="3"/>
  <c r="D83" i="3" s="1"/>
  <c r="A83" i="3" a="1"/>
  <c r="A83" i="3" s="1"/>
  <c r="I83" i="3" s="1" a="1"/>
  <c r="I83" i="3" s="1"/>
  <c r="B82" i="3"/>
  <c r="D82" i="3" s="1"/>
  <c r="A82" i="3" a="1"/>
  <c r="A82" i="3"/>
  <c r="I82" i="3" s="1" a="1"/>
  <c r="I82" i="3" s="1"/>
  <c r="D81" i="3"/>
  <c r="B81" i="3"/>
  <c r="C81" i="3" s="1"/>
  <c r="A81" i="3" a="1"/>
  <c r="A81" i="3" s="1"/>
  <c r="C80" i="3"/>
  <c r="B80" i="3"/>
  <c r="D80" i="3" s="1"/>
  <c r="A80" i="3" a="1"/>
  <c r="A80" i="3"/>
  <c r="B79" i="3"/>
  <c r="C79" i="3" s="1"/>
  <c r="A79" i="3" a="1"/>
  <c r="A79" i="3" s="1"/>
  <c r="D78" i="3"/>
  <c r="B78" i="3"/>
  <c r="C78" i="3" s="1"/>
  <c r="A78" i="3" a="1"/>
  <c r="A78" i="3" s="1"/>
  <c r="F78" i="3" s="1" a="1"/>
  <c r="F78" i="3" s="1"/>
  <c r="B77" i="3"/>
  <c r="A77" i="3" a="1"/>
  <c r="A77" i="3" s="1"/>
  <c r="D76" i="3"/>
  <c r="B76" i="3"/>
  <c r="C76" i="3" s="1"/>
  <c r="A76" i="3" a="1"/>
  <c r="A76" i="3" s="1"/>
  <c r="E76" i="3" s="1" a="1"/>
  <c r="E76" i="3" s="1"/>
  <c r="C75" i="3"/>
  <c r="B75" i="3"/>
  <c r="D75" i="3" s="1"/>
  <c r="A75" i="3" a="1"/>
  <c r="A75" i="3" s="1"/>
  <c r="B74" i="3"/>
  <c r="C74" i="3" s="1"/>
  <c r="A74" i="3" a="1"/>
  <c r="A74" i="3" s="1"/>
  <c r="G73" i="3" a="1"/>
  <c r="G73" i="3"/>
  <c r="D73" i="3"/>
  <c r="C73" i="3"/>
  <c r="B73" i="3"/>
  <c r="A73" i="3" a="1"/>
  <c r="A73" i="3"/>
  <c r="I73" i="3" s="1" a="1"/>
  <c r="I73" i="3" s="1"/>
  <c r="B72" i="3"/>
  <c r="D72" i="3" s="1"/>
  <c r="A72" i="3" a="1"/>
  <c r="A72" i="3" s="1"/>
  <c r="B71" i="3"/>
  <c r="A71" i="3" a="1"/>
  <c r="A71" i="3"/>
  <c r="D70" i="3"/>
  <c r="C70" i="3"/>
  <c r="B70" i="3"/>
  <c r="A70" i="3" a="1"/>
  <c r="A70" i="3"/>
  <c r="I70" i="3" s="1" a="1"/>
  <c r="I70" i="3" s="1"/>
  <c r="B69" i="3"/>
  <c r="A69" i="3" a="1"/>
  <c r="A69" i="3"/>
  <c r="I69" i="3" s="1" a="1"/>
  <c r="I69" i="3" s="1"/>
  <c r="D68" i="3"/>
  <c r="B68" i="3"/>
  <c r="C68" i="3" s="1"/>
  <c r="A68" i="3" a="1"/>
  <c r="A68" i="3" s="1"/>
  <c r="D67" i="3"/>
  <c r="C67" i="3"/>
  <c r="B67" i="3"/>
  <c r="A67" i="3" a="1"/>
  <c r="A67" i="3"/>
  <c r="I67" i="3" s="1" a="1"/>
  <c r="I67" i="3" s="1"/>
  <c r="C66" i="3"/>
  <c r="B66" i="3"/>
  <c r="D66" i="3" s="1"/>
  <c r="A66" i="3" a="1"/>
  <c r="A66" i="3" s="1"/>
  <c r="D65" i="3"/>
  <c r="B65" i="3"/>
  <c r="C65" i="3" s="1"/>
  <c r="A65" i="3" a="1"/>
  <c r="A65" i="3" s="1"/>
  <c r="I65" i="3" s="1" a="1"/>
  <c r="I65" i="3" s="1"/>
  <c r="D64" i="3"/>
  <c r="C64" i="3"/>
  <c r="B64" i="3"/>
  <c r="A64" i="3" a="1"/>
  <c r="A64" i="3"/>
  <c r="I64" i="3" s="1" a="1"/>
  <c r="I64" i="3" s="1"/>
  <c r="B63" i="3"/>
  <c r="D63" i="3" s="1"/>
  <c r="A63" i="3" a="1"/>
  <c r="A63" i="3" s="1"/>
  <c r="G63" i="3" s="1" a="1"/>
  <c r="G63" i="3" s="1"/>
  <c r="B62" i="3"/>
  <c r="C62" i="3" s="1"/>
  <c r="A62" i="3" a="1"/>
  <c r="A62" i="3" s="1"/>
  <c r="I62" i="3" s="1" a="1"/>
  <c r="I62" i="3" s="1"/>
  <c r="D61" i="3"/>
  <c r="C61" i="3"/>
  <c r="B61" i="3"/>
  <c r="A61" i="3" a="1"/>
  <c r="A61" i="3"/>
  <c r="I61" i="3" s="1" a="1"/>
  <c r="I61" i="3" s="1"/>
  <c r="B60" i="3"/>
  <c r="D60" i="3" s="1"/>
  <c r="A60" i="3" a="1"/>
  <c r="A60" i="3" s="1"/>
  <c r="G60" i="3" s="1" a="1"/>
  <c r="G60" i="3" s="1"/>
  <c r="D59" i="3"/>
  <c r="B59" i="3"/>
  <c r="C59" i="3" s="1"/>
  <c r="A59" i="3" a="1"/>
  <c r="A59" i="3" s="1"/>
  <c r="D58" i="3"/>
  <c r="C58" i="3"/>
  <c r="B58" i="3"/>
  <c r="A58" i="3" a="1"/>
  <c r="A58" i="3"/>
  <c r="I58" i="3" s="1" a="1"/>
  <c r="I58" i="3" s="1"/>
  <c r="I57" i="3" a="1"/>
  <c r="I57" i="3" s="1"/>
  <c r="H57" i="3" a="1"/>
  <c r="H57" i="3" s="1"/>
  <c r="C57" i="3"/>
  <c r="B57" i="3"/>
  <c r="D57" i="3" s="1"/>
  <c r="A57" i="3" a="1"/>
  <c r="A57" i="3" s="1"/>
  <c r="E57" i="3" s="1" a="1"/>
  <c r="E57" i="3" s="1"/>
  <c r="B56" i="3"/>
  <c r="C56" i="3" s="1"/>
  <c r="A56" i="3" a="1"/>
  <c r="A56" i="3" s="1"/>
  <c r="I56" i="3" s="1" a="1"/>
  <c r="I56" i="3" s="1"/>
  <c r="D55" i="3"/>
  <c r="C55" i="3"/>
  <c r="B55" i="3"/>
  <c r="A55" i="3" a="1"/>
  <c r="A55" i="3"/>
  <c r="I55" i="3" s="1" a="1"/>
  <c r="I55" i="3" s="1"/>
  <c r="B54" i="3"/>
  <c r="D54" i="3" s="1"/>
  <c r="A54" i="3" a="1"/>
  <c r="A54" i="3" s="1"/>
  <c r="D53" i="3"/>
  <c r="B53" i="3"/>
  <c r="C53" i="3" s="1"/>
  <c r="A53" i="3" a="1"/>
  <c r="A53" i="3" s="1"/>
  <c r="H53" i="3" s="1" a="1"/>
  <c r="H53" i="3" s="1"/>
  <c r="D52" i="3"/>
  <c r="C52" i="3"/>
  <c r="B52" i="3"/>
  <c r="A52" i="3" a="1"/>
  <c r="A52" i="3" s="1"/>
  <c r="C51" i="3"/>
  <c r="B51" i="3"/>
  <c r="D51" i="3" s="1"/>
  <c r="A51" i="3" a="1"/>
  <c r="A51" i="3" s="1"/>
  <c r="B50" i="3"/>
  <c r="A50" i="3" a="1"/>
  <c r="A50" i="3"/>
  <c r="H50" i="3" s="1" a="1"/>
  <c r="H50" i="3" s="1"/>
  <c r="D49" i="3"/>
  <c r="C49" i="3"/>
  <c r="B49" i="3"/>
  <c r="A49" i="3" a="1"/>
  <c r="A49" i="3" s="1"/>
  <c r="I49" i="3" s="1" a="1"/>
  <c r="I49" i="3" s="1"/>
  <c r="C48" i="3"/>
  <c r="B48" i="3"/>
  <c r="A48" i="3" a="1"/>
  <c r="A48" i="3" s="1"/>
  <c r="F48" i="3" s="1" a="1"/>
  <c r="F48" i="3" s="1"/>
  <c r="B47" i="3"/>
  <c r="C47" i="3" s="1"/>
  <c r="A47" i="3" a="1"/>
  <c r="A47" i="3" s="1"/>
  <c r="D46" i="3"/>
  <c r="C46" i="3"/>
  <c r="B46" i="3"/>
  <c r="A46" i="3" a="1"/>
  <c r="A46" i="3"/>
  <c r="I46" i="3" s="1" a="1"/>
  <c r="I46" i="3" s="1"/>
  <c r="C45" i="3"/>
  <c r="B45" i="3"/>
  <c r="D45" i="3" s="1"/>
  <c r="A45" i="3" a="1"/>
  <c r="A45" i="3" s="1"/>
  <c r="D44" i="3"/>
  <c r="B44" i="3"/>
  <c r="C44" i="3" s="1"/>
  <c r="A44" i="3" a="1"/>
  <c r="A44" i="3" s="1"/>
  <c r="D43" i="3"/>
  <c r="C43" i="3"/>
  <c r="B43" i="3"/>
  <c r="A43" i="3" a="1"/>
  <c r="A43" i="3"/>
  <c r="F42" i="3" a="1"/>
  <c r="F42" i="3" s="1"/>
  <c r="D42" i="3"/>
  <c r="B42" i="3"/>
  <c r="C42" i="3" s="1"/>
  <c r="A42" i="3" a="1"/>
  <c r="A42" i="3" s="1"/>
  <c r="D41" i="3"/>
  <c r="B41" i="3"/>
  <c r="A41" i="3" a="1"/>
  <c r="A41" i="3"/>
  <c r="F41" i="3" s="1" a="1"/>
  <c r="F41" i="3" s="1"/>
  <c r="D40" i="3"/>
  <c r="C40" i="3"/>
  <c r="B40" i="3"/>
  <c r="A40" i="3" a="1"/>
  <c r="A40" i="3" s="1"/>
  <c r="B39" i="3"/>
  <c r="D39" i="3" s="1"/>
  <c r="A39" i="3" a="1"/>
  <c r="A39" i="3" s="1"/>
  <c r="H39" i="3" s="1" a="1"/>
  <c r="H39" i="3" s="1"/>
  <c r="D38" i="3"/>
  <c r="C38" i="3"/>
  <c r="B38" i="3"/>
  <c r="A38" i="3" a="1"/>
  <c r="A38" i="3" s="1"/>
  <c r="D37" i="3"/>
  <c r="C37" i="3"/>
  <c r="B37" i="3"/>
  <c r="A37" i="3" a="1"/>
  <c r="A37" i="3"/>
  <c r="G37" i="3" s="1" a="1"/>
  <c r="G37" i="3" s="1"/>
  <c r="C36" i="3"/>
  <c r="B36" i="3"/>
  <c r="D36" i="3" s="1"/>
  <c r="A36" i="3" a="1"/>
  <c r="A36" i="3" s="1"/>
  <c r="D35" i="3"/>
  <c r="B35" i="3"/>
  <c r="C35" i="3" s="1"/>
  <c r="A35" i="3" a="1"/>
  <c r="A35" i="3" s="1"/>
  <c r="I35" i="3" s="1" a="1"/>
  <c r="I35" i="3" s="1"/>
  <c r="C34" i="3"/>
  <c r="B34" i="3"/>
  <c r="D34" i="3" s="1"/>
  <c r="A34" i="3" a="1"/>
  <c r="A34" i="3"/>
  <c r="G34" i="3" s="1" a="1"/>
  <c r="G34" i="3" s="1"/>
  <c r="D33" i="3"/>
  <c r="C33" i="3"/>
  <c r="B33" i="3"/>
  <c r="A33" i="3" a="1"/>
  <c r="A33" i="3"/>
  <c r="D32" i="3"/>
  <c r="C32" i="3"/>
  <c r="B32" i="3"/>
  <c r="A32" i="3" a="1"/>
  <c r="A32" i="3" s="1"/>
  <c r="C31" i="3"/>
  <c r="B31" i="3"/>
  <c r="D31" i="3" s="1"/>
  <c r="A31" i="3" a="1"/>
  <c r="A31" i="3"/>
  <c r="H31" i="3" s="1" a="1"/>
  <c r="H31" i="3" s="1"/>
  <c r="B30" i="3"/>
  <c r="D30" i="3" s="1"/>
  <c r="A30" i="3" a="1"/>
  <c r="A30" i="3"/>
  <c r="I30" i="3" s="1" a="1"/>
  <c r="I30" i="3" s="1"/>
  <c r="F29" i="3" a="1"/>
  <c r="F29" i="3" s="1"/>
  <c r="D29" i="3"/>
  <c r="C29" i="3"/>
  <c r="B29" i="3"/>
  <c r="A29" i="3" a="1"/>
  <c r="A29" i="3" s="1"/>
  <c r="E29" i="3" s="1" a="1"/>
  <c r="E29" i="3" s="1"/>
  <c r="C28" i="3"/>
  <c r="B28" i="3"/>
  <c r="D28" i="3" s="1"/>
  <c r="A28" i="3" a="1"/>
  <c r="A28" i="3"/>
  <c r="F28" i="3" s="1" a="1"/>
  <c r="F28" i="3" s="1"/>
  <c r="C27" i="3"/>
  <c r="B27" i="3"/>
  <c r="D27" i="3" s="1"/>
  <c r="A27" i="3" a="1"/>
  <c r="A27" i="3" s="1"/>
  <c r="D26" i="3"/>
  <c r="C26" i="3"/>
  <c r="B26" i="3"/>
  <c r="A26" i="3" a="1"/>
  <c r="A26" i="3" s="1"/>
  <c r="C25" i="3"/>
  <c r="B25" i="3"/>
  <c r="D25" i="3" s="1"/>
  <c r="A25" i="3" a="1"/>
  <c r="A25" i="3"/>
  <c r="H25" i="3" s="1" a="1"/>
  <c r="H25" i="3" s="1"/>
  <c r="D24" i="3"/>
  <c r="B24" i="3"/>
  <c r="C24" i="3" s="1"/>
  <c r="A24" i="3" a="1"/>
  <c r="A24" i="3" s="1"/>
  <c r="D23" i="3"/>
  <c r="C23" i="3"/>
  <c r="B23" i="3"/>
  <c r="A23" i="3" a="1"/>
  <c r="A23" i="3" s="1"/>
  <c r="F23" i="3" s="1" a="1"/>
  <c r="F23" i="3" s="1"/>
  <c r="C22" i="3"/>
  <c r="B22" i="3"/>
  <c r="D22" i="3" s="1"/>
  <c r="A22" i="3" a="1"/>
  <c r="A22" i="3"/>
  <c r="F22" i="3" s="1" a="1"/>
  <c r="F22" i="3" s="1"/>
  <c r="D21" i="3"/>
  <c r="C21" i="3"/>
  <c r="B21" i="3"/>
  <c r="A21" i="3" a="1"/>
  <c r="A21" i="3" s="1"/>
  <c r="D20" i="3"/>
  <c r="C20" i="3"/>
  <c r="B20" i="3"/>
  <c r="A20" i="3" a="1"/>
  <c r="A20" i="3" s="1"/>
  <c r="E20" i="3" s="1" a="1"/>
  <c r="E20" i="3" s="1"/>
  <c r="C19" i="3"/>
  <c r="B19" i="3"/>
  <c r="D19" i="3" s="1"/>
  <c r="A19" i="3" a="1"/>
  <c r="A19" i="3"/>
  <c r="I19" i="3" s="1" a="1"/>
  <c r="I19" i="3" s="1"/>
  <c r="E18" i="3" a="1"/>
  <c r="E18" i="3" s="1"/>
  <c r="D18" i="3"/>
  <c r="C18" i="3"/>
  <c r="B18" i="3"/>
  <c r="A18" i="3" a="1"/>
  <c r="A18" i="3"/>
  <c r="I18" i="3" s="1" a="1"/>
  <c r="I18" i="3" s="1"/>
  <c r="G17" i="3" a="1"/>
  <c r="G17" i="3" s="1"/>
  <c r="F17" i="3" a="1"/>
  <c r="F17" i="3" s="1"/>
  <c r="E17" i="3" a="1"/>
  <c r="E17" i="3"/>
  <c r="D17" i="3"/>
  <c r="C17" i="3"/>
  <c r="B17" i="3"/>
  <c r="A17" i="3" a="1"/>
  <c r="A17" i="3" s="1"/>
  <c r="B16" i="3"/>
  <c r="D16" i="3" s="1"/>
  <c r="A16" i="3" a="1"/>
  <c r="A16" i="3" s="1"/>
  <c r="I16" i="3" s="1" a="1"/>
  <c r="I16" i="3" s="1"/>
  <c r="B15" i="3"/>
  <c r="D15" i="3" s="1"/>
  <c r="A15" i="3" a="1"/>
  <c r="A15" i="3" s="1"/>
  <c r="D14" i="3"/>
  <c r="C14" i="3"/>
  <c r="B14" i="3"/>
  <c r="A14" i="3" a="1"/>
  <c r="A14" i="3" s="1"/>
  <c r="E14" i="3" s="1" a="1"/>
  <c r="E14" i="3" s="1"/>
  <c r="C13" i="3"/>
  <c r="B13" i="3"/>
  <c r="D13" i="3" s="1"/>
  <c r="A13" i="3" a="1"/>
  <c r="A13" i="3"/>
  <c r="F13" i="3" s="1" a="1"/>
  <c r="F13" i="3" s="1"/>
  <c r="C12" i="3"/>
  <c r="B12" i="3"/>
  <c r="D12" i="3" s="1"/>
  <c r="A12" i="3" a="1"/>
  <c r="A12" i="3" s="1"/>
  <c r="D11" i="3"/>
  <c r="C11" i="3"/>
  <c r="B11" i="3"/>
  <c r="A11" i="3" a="1"/>
  <c r="A11" i="3" s="1"/>
  <c r="B10" i="3"/>
  <c r="D10" i="3" s="1"/>
  <c r="A10" i="3" a="1"/>
  <c r="A10" i="3" s="1"/>
  <c r="E10" i="3" s="1" a="1"/>
  <c r="E10" i="3" s="1"/>
  <c r="D9" i="3"/>
  <c r="B9" i="3"/>
  <c r="C9" i="3" s="1"/>
  <c r="A9" i="3" a="1"/>
  <c r="A9" i="3" s="1"/>
  <c r="D8" i="3"/>
  <c r="C8" i="3"/>
  <c r="B8" i="3"/>
  <c r="A8" i="3" a="1"/>
  <c r="A8" i="3" s="1"/>
  <c r="C7" i="3"/>
  <c r="B7" i="3"/>
  <c r="D7" i="3" s="1"/>
  <c r="A7" i="3" a="1"/>
  <c r="A7" i="3" s="1"/>
  <c r="E7" i="3" s="1" a="1"/>
  <c r="E7" i="3" s="1"/>
  <c r="C6" i="3"/>
  <c r="B6" i="3"/>
  <c r="D6" i="3" s="1"/>
  <c r="A6" i="3" a="1"/>
  <c r="A6" i="3" s="1"/>
  <c r="P5" i="3"/>
  <c r="AE4" i="2" s="1"/>
  <c r="O5" i="3"/>
  <c r="AD4" i="2" s="1"/>
  <c r="N5" i="3"/>
  <c r="AC4" i="2" s="1"/>
  <c r="M5" i="3"/>
  <c r="AB4" i="2" s="1"/>
  <c r="C5" i="3"/>
  <c r="B5" i="3"/>
  <c r="D5" i="3" s="1"/>
  <c r="A5" i="3" a="1"/>
  <c r="A5" i="3"/>
  <c r="I5" i="3" s="1" a="1"/>
  <c r="I5" i="3" s="1"/>
  <c r="P4" i="3"/>
  <c r="AE3" i="2" s="1"/>
  <c r="O4" i="3"/>
  <c r="AD3" i="2" s="1"/>
  <c r="N4" i="3"/>
  <c r="AC3" i="2" s="1"/>
  <c r="M4" i="3"/>
  <c r="AB3" i="2" s="1"/>
  <c r="D4" i="3"/>
  <c r="C4" i="3"/>
  <c r="B4" i="3"/>
  <c r="A4" i="3" a="1"/>
  <c r="A4" i="3" s="1"/>
  <c r="G4" i="3" s="1" a="1"/>
  <c r="G4" i="3" s="1"/>
  <c r="C3" i="3"/>
  <c r="B3" i="3"/>
  <c r="D3" i="3" s="1"/>
  <c r="A3" i="3" a="1"/>
  <c r="A3" i="3" s="1"/>
  <c r="E3" i="3" s="1" a="1"/>
  <c r="E3" i="3" s="1"/>
  <c r="C2" i="3"/>
  <c r="B2" i="3"/>
  <c r="D2" i="3" s="1"/>
  <c r="A2" i="3" a="1"/>
  <c r="A2" i="3"/>
  <c r="I2" i="3" s="1" a="1"/>
  <c r="I2" i="3" s="1"/>
  <c r="AQ4" i="2"/>
  <c r="AP4" i="2"/>
  <c r="AO4" i="2"/>
  <c r="AN4" i="2"/>
  <c r="AM4" i="2"/>
  <c r="AL4" i="2"/>
  <c r="AK4" i="2"/>
  <c r="AJ4" i="2"/>
  <c r="AI4" i="2"/>
  <c r="AH4" i="2"/>
  <c r="AG4" i="2"/>
  <c r="AF4" i="2"/>
  <c r="AA4" i="2"/>
  <c r="Z4" i="2"/>
  <c r="Y4" i="2"/>
  <c r="X4" i="2"/>
  <c r="AQ3" i="2"/>
  <c r="AP3" i="2"/>
  <c r="AO3" i="2"/>
  <c r="AN3" i="2"/>
  <c r="AM3" i="2"/>
  <c r="AL3" i="2"/>
  <c r="AK3" i="2"/>
  <c r="AJ3" i="2"/>
  <c r="AI3" i="2"/>
  <c r="AH3" i="2"/>
  <c r="AG3" i="2"/>
  <c r="AF3" i="2"/>
  <c r="AA3" i="2"/>
  <c r="Z3" i="2"/>
  <c r="Y3" i="2"/>
  <c r="X3" i="2"/>
  <c r="M12" i="1"/>
  <c r="L12" i="1"/>
  <c r="K12" i="1"/>
  <c r="J12" i="1"/>
  <c r="I12" i="1"/>
  <c r="M11" i="1"/>
  <c r="L11" i="1"/>
  <c r="K11" i="1"/>
  <c r="J11" i="1"/>
  <c r="I11" i="1"/>
  <c r="M10" i="1"/>
  <c r="L10" i="1"/>
  <c r="K10" i="1"/>
  <c r="J10" i="1"/>
  <c r="I10" i="1"/>
  <c r="M9" i="1"/>
  <c r="L9" i="1"/>
  <c r="K9" i="1"/>
  <c r="M8" i="1"/>
  <c r="L8" i="1"/>
  <c r="K8" i="1"/>
  <c r="J8" i="1"/>
  <c r="J9" i="1" s="1"/>
  <c r="I8" i="1"/>
  <c r="M7" i="1"/>
  <c r="L7" i="1"/>
  <c r="K7" i="1"/>
  <c r="J7" i="1"/>
  <c r="I7" i="1"/>
  <c r="M6" i="1"/>
  <c r="L6" i="1"/>
  <c r="K6" i="1"/>
  <c r="J6" i="1"/>
  <c r="I6" i="1"/>
  <c r="M5" i="1"/>
  <c r="L5" i="1"/>
  <c r="K5" i="1"/>
  <c r="J5" i="1"/>
  <c r="I5" i="1"/>
  <c r="M4" i="1"/>
  <c r="L4" i="1"/>
  <c r="K4" i="1"/>
  <c r="J4" i="1"/>
  <c r="I4" i="1"/>
  <c r="H38" i="3" l="1" a="1"/>
  <c r="H38" i="3" s="1"/>
  <c r="I38" i="3" a="1"/>
  <c r="I38" i="3" s="1"/>
  <c r="F38" i="3" a="1"/>
  <c r="F38" i="3" s="1"/>
  <c r="I52" i="3" a="1"/>
  <c r="I52" i="3" s="1"/>
  <c r="F52" i="3" a="1"/>
  <c r="F52" i="3" s="1"/>
  <c r="G52" i="3" a="1"/>
  <c r="G52" i="3" s="1"/>
  <c r="E54" i="3" a="1"/>
  <c r="E54" i="3" s="1"/>
  <c r="H54" i="3" a="1"/>
  <c r="H54" i="3" s="1"/>
  <c r="G54" i="3" a="1"/>
  <c r="G54" i="3" s="1"/>
  <c r="H93" i="3" a="1"/>
  <c r="H93" i="3" s="1"/>
  <c r="I93" i="3" a="1"/>
  <c r="I93" i="3" s="1"/>
  <c r="I40" i="3" a="1"/>
  <c r="I40" i="3" s="1"/>
  <c r="F40" i="3" a="1"/>
  <c r="F40" i="3" s="1"/>
  <c r="E40" i="3" a="1"/>
  <c r="E40" i="3" s="1"/>
  <c r="G89" i="3" a="1"/>
  <c r="G89" i="3" s="1"/>
  <c r="I89" i="3" a="1"/>
  <c r="I89" i="3" s="1"/>
  <c r="H89" i="3" a="1"/>
  <c r="H89" i="3" s="1"/>
  <c r="E82" i="3" a="1"/>
  <c r="E82" i="3" s="1"/>
  <c r="E4" i="3" a="1"/>
  <c r="E4" i="3" s="1"/>
  <c r="G82" i="3" a="1"/>
  <c r="G82" i="3" s="1"/>
  <c r="I159" i="3" a="1"/>
  <c r="I159" i="3" s="1"/>
  <c r="F4" i="3" a="1"/>
  <c r="F4" i="3" s="1"/>
  <c r="G61" i="3" a="1"/>
  <c r="G61" i="3" s="1"/>
  <c r="G22" i="3" a="1"/>
  <c r="G22" i="3" s="1"/>
  <c r="F64" i="3" a="1"/>
  <c r="F64" i="3" s="1"/>
  <c r="I84" i="3" a="1"/>
  <c r="I84" i="3" s="1"/>
  <c r="F20" i="3" a="1"/>
  <c r="F20" i="3" s="1"/>
  <c r="G64" i="3" a="1"/>
  <c r="G64" i="3" s="1"/>
  <c r="E70" i="3" a="1"/>
  <c r="E70" i="3" s="1"/>
  <c r="G92" i="3" a="1"/>
  <c r="G92" i="3" s="1"/>
  <c r="F5" i="3" a="1"/>
  <c r="F5" i="3" s="1"/>
  <c r="J84" i="3"/>
  <c r="H22" i="3" a="1"/>
  <c r="H22" i="3" s="1"/>
  <c r="H34" i="3" a="1"/>
  <c r="H34" i="3" s="1"/>
  <c r="F70" i="3" a="1"/>
  <c r="F70" i="3" s="1"/>
  <c r="E73" i="3" a="1"/>
  <c r="E73" i="3" s="1"/>
  <c r="G5" i="3" a="1"/>
  <c r="G5" i="3" s="1"/>
  <c r="G55" i="3" a="1"/>
  <c r="G55" i="3" s="1"/>
  <c r="E64" i="3" a="1"/>
  <c r="E64" i="3" s="1"/>
  <c r="G20" i="3" a="1"/>
  <c r="G20" i="3" s="1"/>
  <c r="G70" i="3" a="1"/>
  <c r="G70" i="3" s="1"/>
  <c r="F73" i="3" a="1"/>
  <c r="F73" i="3" s="1"/>
  <c r="E128" i="3" a="1"/>
  <c r="E128" i="3" s="1"/>
  <c r="I124" i="3" a="1"/>
  <c r="I124" i="3" s="1"/>
  <c r="H124" i="3" a="1"/>
  <c r="H124" i="3" s="1"/>
  <c r="G124" i="3" a="1"/>
  <c r="G124" i="3" s="1"/>
  <c r="E95" i="3" a="1"/>
  <c r="E95" i="3" s="1"/>
  <c r="H95" i="3" a="1"/>
  <c r="H95" i="3" s="1"/>
  <c r="J95" i="3" s="1"/>
  <c r="G95" i="3" a="1"/>
  <c r="G95" i="3" s="1"/>
  <c r="F95" i="3" a="1"/>
  <c r="F95" i="3" s="1"/>
  <c r="I95" i="3" a="1"/>
  <c r="I95" i="3" s="1"/>
  <c r="I33" i="3" a="1"/>
  <c r="I33" i="3" s="1"/>
  <c r="F19" i="3" a="1"/>
  <c r="F19" i="3" s="1"/>
  <c r="G28" i="3" a="1"/>
  <c r="G28" i="3" s="1"/>
  <c r="I112" i="3" a="1"/>
  <c r="I112" i="3" s="1"/>
  <c r="G19" i="3" a="1"/>
  <c r="G19" i="3" s="1"/>
  <c r="H28" i="3" a="1"/>
  <c r="H28" i="3" s="1"/>
  <c r="E94" i="3" a="1"/>
  <c r="E94" i="3" s="1"/>
  <c r="G107" i="3" a="1"/>
  <c r="G107" i="3" s="1"/>
  <c r="G127" i="3" a="1"/>
  <c r="G127" i="3" s="1"/>
  <c r="J127" i="3" s="1"/>
  <c r="I3" i="3" a="1"/>
  <c r="I3" i="3" s="1"/>
  <c r="F35" i="3" a="1"/>
  <c r="F35" i="3" s="1"/>
  <c r="E83" i="3" a="1"/>
  <c r="E83" i="3" s="1"/>
  <c r="H127" i="3" a="1"/>
  <c r="H127" i="3" s="1"/>
  <c r="E23" i="3" a="1"/>
  <c r="E23" i="3" s="1"/>
  <c r="G35" i="3" a="1"/>
  <c r="G35" i="3" s="1"/>
  <c r="F58" i="3" a="1"/>
  <c r="F58" i="3" s="1"/>
  <c r="F149" i="3" a="1"/>
  <c r="F149" i="3" s="1"/>
  <c r="F173" i="3" a="1"/>
  <c r="F173" i="3" s="1"/>
  <c r="E180" i="3" a="1"/>
  <c r="E180" i="3" s="1"/>
  <c r="E2" i="3" a="1"/>
  <c r="E2" i="3" s="1"/>
  <c r="H18" i="3" a="1"/>
  <c r="H18" i="3" s="1"/>
  <c r="E49" i="3" a="1"/>
  <c r="E49" i="3" s="1"/>
  <c r="E55" i="3" a="1"/>
  <c r="E55" i="3" s="1"/>
  <c r="G58" i="3" a="1"/>
  <c r="G58" i="3" s="1"/>
  <c r="E61" i="3" a="1"/>
  <c r="E61" i="3" s="1"/>
  <c r="H65" i="3" a="1"/>
  <c r="H65" i="3" s="1"/>
  <c r="G67" i="3" a="1"/>
  <c r="G67" i="3" s="1"/>
  <c r="F83" i="3" a="1"/>
  <c r="F83" i="3" s="1"/>
  <c r="F93" i="3" a="1"/>
  <c r="F93" i="3" s="1"/>
  <c r="F110" i="3" a="1"/>
  <c r="F110" i="3" s="1"/>
  <c r="F119" i="3" a="1"/>
  <c r="F119" i="3" s="1"/>
  <c r="H133" i="3" a="1"/>
  <c r="H133" i="3" s="1"/>
  <c r="H138" i="3" a="1"/>
  <c r="H138" i="3" s="1"/>
  <c r="J138" i="3" s="1"/>
  <c r="E155" i="3" a="1"/>
  <c r="E155" i="3" s="1"/>
  <c r="E103" i="3" a="1"/>
  <c r="E103" i="3" s="1"/>
  <c r="E127" i="3" a="1"/>
  <c r="E127" i="3" s="1"/>
  <c r="F3" i="3" a="1"/>
  <c r="F3" i="3" s="1"/>
  <c r="E186" i="3" a="1"/>
  <c r="E186" i="3" s="1"/>
  <c r="F90" i="3" a="1"/>
  <c r="F90" i="3" s="1"/>
  <c r="F191" i="3" a="1"/>
  <c r="F191" i="3" s="1"/>
  <c r="G3" i="3" a="1"/>
  <c r="G3" i="3" s="1"/>
  <c r="E35" i="3" a="1"/>
  <c r="E35" i="3" s="1"/>
  <c r="H41" i="3" a="1"/>
  <c r="H41" i="3" s="1"/>
  <c r="F46" i="3" a="1"/>
  <c r="F46" i="3" s="1"/>
  <c r="H56" i="3" a="1"/>
  <c r="H56" i="3" s="1"/>
  <c r="H37" i="3" a="1"/>
  <c r="H37" i="3" s="1"/>
  <c r="G46" i="3" a="1"/>
  <c r="G46" i="3" s="1"/>
  <c r="E67" i="3" a="1"/>
  <c r="E67" i="3" s="1"/>
  <c r="E93" i="3" a="1"/>
  <c r="E93" i="3" s="1"/>
  <c r="F67" i="3" a="1"/>
  <c r="F67" i="3" s="1"/>
  <c r="H94" i="3" a="1"/>
  <c r="H94" i="3" s="1"/>
  <c r="E110" i="3" a="1"/>
  <c r="E110" i="3" s="1"/>
  <c r="E119" i="3" a="1"/>
  <c r="E119" i="3" s="1"/>
  <c r="H2" i="3" a="1"/>
  <c r="H2" i="3" s="1"/>
  <c r="F34" i="3" a="1"/>
  <c r="F34" i="3" s="1"/>
  <c r="F49" i="3" a="1"/>
  <c r="F49" i="3" s="1"/>
  <c r="F55" i="3" a="1"/>
  <c r="F55" i="3" s="1"/>
  <c r="F61" i="3" a="1"/>
  <c r="F61" i="3" s="1"/>
  <c r="E78" i="3" a="1"/>
  <c r="E78" i="3" s="1"/>
  <c r="H83" i="3" a="1"/>
  <c r="H83" i="3" s="1"/>
  <c r="G93" i="3" a="1"/>
  <c r="G93" i="3" s="1"/>
  <c r="I94" i="3" a="1"/>
  <c r="I94" i="3" s="1"/>
  <c r="G110" i="3" a="1"/>
  <c r="G110" i="3" s="1"/>
  <c r="G119" i="3" a="1"/>
  <c r="G119" i="3" s="1"/>
  <c r="E170" i="3" a="1"/>
  <c r="E170" i="3" s="1"/>
  <c r="E168" i="3" a="1"/>
  <c r="E168" i="3" s="1"/>
  <c r="E46" i="3" a="1"/>
  <c r="E46" i="3" s="1"/>
  <c r="E56" i="3" a="1"/>
  <c r="E56" i="3" s="1"/>
  <c r="F127" i="3" a="1"/>
  <c r="F127" i="3" s="1"/>
  <c r="G90" i="3" a="1"/>
  <c r="G90" i="3" s="1"/>
  <c r="E58" i="3" a="1"/>
  <c r="E58" i="3" s="1"/>
  <c r="G49" i="3" a="1"/>
  <c r="G49" i="3" s="1"/>
  <c r="E52" i="3" a="1"/>
  <c r="E52" i="3" s="1"/>
  <c r="F54" i="3" a="1"/>
  <c r="F54" i="3" s="1"/>
  <c r="G57" i="3" a="1"/>
  <c r="G57" i="3" s="1"/>
  <c r="J57" i="3" s="1"/>
  <c r="F185" i="3" a="1"/>
  <c r="F185" i="3" s="1"/>
  <c r="E94" i="4"/>
  <c r="E82" i="4"/>
  <c r="E70" i="4"/>
  <c r="E58" i="4"/>
  <c r="E46" i="4"/>
  <c r="E34" i="4"/>
  <c r="E22" i="4"/>
  <c r="E101" i="4"/>
  <c r="E89" i="4"/>
  <c r="E77" i="4"/>
  <c r="E65" i="4"/>
  <c r="E53" i="4"/>
  <c r="E41" i="4"/>
  <c r="E29" i="4"/>
  <c r="E9" i="4"/>
  <c r="E2" i="4"/>
  <c r="E96" i="4"/>
  <c r="E84" i="4"/>
  <c r="E72" i="4"/>
  <c r="E60" i="4"/>
  <c r="E48" i="4"/>
  <c r="E36" i="4"/>
  <c r="E24" i="4"/>
  <c r="E16" i="4"/>
  <c r="E91" i="4"/>
  <c r="E79" i="4"/>
  <c r="E67" i="4"/>
  <c r="E55" i="4"/>
  <c r="E43" i="4"/>
  <c r="E31" i="4"/>
  <c r="E19" i="4"/>
  <c r="E10" i="4"/>
  <c r="E4" i="4"/>
  <c r="E98" i="4"/>
  <c r="E86" i="4"/>
  <c r="E74" i="4"/>
  <c r="E62" i="4"/>
  <c r="E50" i="4"/>
  <c r="E38" i="4"/>
  <c r="E26" i="4"/>
  <c r="E14" i="4"/>
  <c r="E93" i="4"/>
  <c r="E81" i="4"/>
  <c r="E69" i="4"/>
  <c r="E57" i="4"/>
  <c r="E45" i="4"/>
  <c r="E33" i="4"/>
  <c r="E21" i="4"/>
  <c r="E17" i="4"/>
  <c r="E11" i="4"/>
  <c r="E5" i="4"/>
  <c r="E100" i="4"/>
  <c r="E88" i="4"/>
  <c r="E76" i="4"/>
  <c r="E64" i="4"/>
  <c r="E52" i="4"/>
  <c r="E40" i="4"/>
  <c r="E28" i="4"/>
  <c r="E95" i="4"/>
  <c r="E83" i="4"/>
  <c r="E71" i="4"/>
  <c r="E59" i="4"/>
  <c r="E47" i="4"/>
  <c r="E35" i="4"/>
  <c r="E23" i="4"/>
  <c r="E12" i="4"/>
  <c r="E6" i="4"/>
  <c r="E90" i="4"/>
  <c r="E78" i="4"/>
  <c r="E66" i="4"/>
  <c r="E54" i="4"/>
  <c r="E42" i="4"/>
  <c r="E30" i="4"/>
  <c r="E18" i="4"/>
  <c r="E3" i="4"/>
  <c r="E97" i="4"/>
  <c r="E85" i="4"/>
  <c r="E73" i="4"/>
  <c r="E61" i="4"/>
  <c r="E49" i="4"/>
  <c r="E37" i="4"/>
  <c r="E25" i="4"/>
  <c r="E13" i="4"/>
  <c r="E7" i="4"/>
  <c r="E92" i="4"/>
  <c r="E80" i="4"/>
  <c r="E68" i="4"/>
  <c r="E56" i="4"/>
  <c r="E44" i="4"/>
  <c r="E32" i="4"/>
  <c r="E20" i="4"/>
  <c r="E99" i="4"/>
  <c r="E87" i="4"/>
  <c r="E75" i="4"/>
  <c r="E63" i="4"/>
  <c r="E51" i="4"/>
  <c r="E39" i="4"/>
  <c r="E27" i="4"/>
  <c r="E15" i="4"/>
  <c r="E8" i="4"/>
  <c r="F101" i="4"/>
  <c r="F89" i="4"/>
  <c r="F77" i="4"/>
  <c r="F65" i="4"/>
  <c r="F53" i="4"/>
  <c r="F41" i="4"/>
  <c r="F29" i="4"/>
  <c r="F9" i="4"/>
  <c r="F2" i="4"/>
  <c r="F96" i="4"/>
  <c r="F84" i="4"/>
  <c r="F72" i="4"/>
  <c r="F60" i="4"/>
  <c r="F48" i="4"/>
  <c r="F36" i="4"/>
  <c r="F24" i="4"/>
  <c r="F16" i="4"/>
  <c r="F91" i="4"/>
  <c r="F79" i="4"/>
  <c r="F67" i="4"/>
  <c r="F55" i="4"/>
  <c r="F43" i="4"/>
  <c r="F31" i="4"/>
  <c r="F19" i="4"/>
  <c r="F10" i="4"/>
  <c r="F4" i="4"/>
  <c r="F98" i="4"/>
  <c r="F86" i="4"/>
  <c r="F74" i="4"/>
  <c r="F62" i="4"/>
  <c r="F50" i="4"/>
  <c r="F38" i="4"/>
  <c r="F26" i="4"/>
  <c r="F14" i="4"/>
  <c r="F93" i="4"/>
  <c r="F81" i="4"/>
  <c r="F69" i="4"/>
  <c r="F57" i="4"/>
  <c r="F45" i="4"/>
  <c r="F33" i="4"/>
  <c r="F21" i="4"/>
  <c r="F17" i="4"/>
  <c r="F11" i="4"/>
  <c r="F5" i="4"/>
  <c r="F100" i="4"/>
  <c r="F88" i="4"/>
  <c r="F76" i="4"/>
  <c r="F64" i="4"/>
  <c r="F52" i="4"/>
  <c r="F40" i="4"/>
  <c r="F28" i="4"/>
  <c r="F95" i="4"/>
  <c r="F83" i="4"/>
  <c r="F71" i="4"/>
  <c r="F59" i="4"/>
  <c r="F47" i="4"/>
  <c r="F35" i="4"/>
  <c r="F23" i="4"/>
  <c r="F12" i="4"/>
  <c r="F6" i="4"/>
  <c r="F90" i="4"/>
  <c r="F78" i="4"/>
  <c r="F66" i="4"/>
  <c r="F54" i="4"/>
  <c r="F42" i="4"/>
  <c r="F30" i="4"/>
  <c r="F18" i="4"/>
  <c r="F3" i="4"/>
  <c r="F97" i="4"/>
  <c r="F85" i="4"/>
  <c r="F73" i="4"/>
  <c r="F61" i="4"/>
  <c r="F49" i="4"/>
  <c r="F37" i="4"/>
  <c r="F25" i="4"/>
  <c r="F13" i="4"/>
  <c r="F7" i="4"/>
  <c r="F92" i="4"/>
  <c r="F80" i="4"/>
  <c r="F68" i="4"/>
  <c r="F56" i="4"/>
  <c r="F44" i="4"/>
  <c r="F32" i="4"/>
  <c r="F20" i="4"/>
  <c r="F99" i="4"/>
  <c r="F87" i="4"/>
  <c r="F75" i="4"/>
  <c r="F63" i="4"/>
  <c r="F51" i="4"/>
  <c r="F39" i="4"/>
  <c r="F27" i="4"/>
  <c r="F15" i="4"/>
  <c r="F8" i="4"/>
  <c r="F94" i="4"/>
  <c r="F82" i="4"/>
  <c r="F70" i="4"/>
  <c r="F58" i="4"/>
  <c r="F46" i="4"/>
  <c r="F34" i="4"/>
  <c r="F22" i="4"/>
  <c r="G12" i="3" a="1"/>
  <c r="G12" i="3" s="1"/>
  <c r="F12" i="3" a="1"/>
  <c r="F12" i="3" s="1"/>
  <c r="I12" i="3" a="1"/>
  <c r="I12" i="3" s="1"/>
  <c r="H12" i="3" a="1"/>
  <c r="H12" i="3" s="1"/>
  <c r="E12" i="3" a="1"/>
  <c r="E12" i="3" s="1"/>
  <c r="G21" i="3" a="1"/>
  <c r="G21" i="3" s="1"/>
  <c r="F21" i="3" a="1"/>
  <c r="F21" i="3" s="1"/>
  <c r="I21" i="3" a="1"/>
  <c r="I21" i="3" s="1"/>
  <c r="H21" i="3" a="1"/>
  <c r="H21" i="3" s="1"/>
  <c r="E21" i="3" a="1"/>
  <c r="E21" i="3" s="1"/>
  <c r="G15" i="3" a="1"/>
  <c r="G15" i="3" s="1"/>
  <c r="F15" i="3" a="1"/>
  <c r="F15" i="3" s="1"/>
  <c r="I15" i="3" a="1"/>
  <c r="I15" i="3" s="1"/>
  <c r="H15" i="3" a="1"/>
  <c r="H15" i="3" s="1"/>
  <c r="E15" i="3" a="1"/>
  <c r="E15" i="3" s="1"/>
  <c r="G74" i="3" a="1"/>
  <c r="G74" i="3" s="1"/>
  <c r="F74" i="3" a="1"/>
  <c r="F74" i="3" s="1"/>
  <c r="H74" i="3" a="1"/>
  <c r="H74" i="3" s="1"/>
  <c r="E74" i="3" a="1"/>
  <c r="E74" i="3" s="1"/>
  <c r="I74" i="3" a="1"/>
  <c r="I74" i="3" s="1"/>
  <c r="G6" i="3" a="1"/>
  <c r="G6" i="3" s="1"/>
  <c r="F6" i="3" a="1"/>
  <c r="F6" i="3" s="1"/>
  <c r="H6" i="3" a="1"/>
  <c r="H6" i="3" s="1"/>
  <c r="E6" i="3" a="1"/>
  <c r="E6" i="3" s="1"/>
  <c r="I6" i="3" a="1"/>
  <c r="I6" i="3" s="1"/>
  <c r="G44" i="3" a="1"/>
  <c r="G44" i="3" s="1"/>
  <c r="F44" i="3" a="1"/>
  <c r="F44" i="3" s="1"/>
  <c r="I44" i="3" a="1"/>
  <c r="I44" i="3" s="1"/>
  <c r="H44" i="3" a="1"/>
  <c r="H44" i="3" s="1"/>
  <c r="E44" i="3" a="1"/>
  <c r="E44" i="3" s="1"/>
  <c r="E72" i="3" a="1"/>
  <c r="E72" i="3" s="1"/>
  <c r="H72" i="3" a="1"/>
  <c r="H72" i="3" s="1"/>
  <c r="G72" i="3" a="1"/>
  <c r="G72" i="3" s="1"/>
  <c r="F72" i="3" a="1"/>
  <c r="F72" i="3" s="1"/>
  <c r="I72" i="3" a="1"/>
  <c r="I72" i="3" s="1"/>
  <c r="E75" i="3" a="1"/>
  <c r="E75" i="3" s="1"/>
  <c r="I75" i="3" a="1"/>
  <c r="I75" i="3" s="1"/>
  <c r="H75" i="3" a="1"/>
  <c r="H75" i="3" s="1"/>
  <c r="G75" i="3" a="1"/>
  <c r="G75" i="3" s="1"/>
  <c r="F75" i="3" a="1"/>
  <c r="F75" i="3" s="1"/>
  <c r="I9" i="1"/>
  <c r="G27" i="3" a="1"/>
  <c r="G27" i="3" s="1"/>
  <c r="F27" i="3" a="1"/>
  <c r="F27" i="3" s="1"/>
  <c r="E27" i="3" a="1"/>
  <c r="E27" i="3" s="1"/>
  <c r="I27" i="3" a="1"/>
  <c r="I27" i="3" s="1"/>
  <c r="H27" i="3" a="1"/>
  <c r="H27" i="3" s="1"/>
  <c r="G145" i="3" a="1"/>
  <c r="G145" i="3" s="1"/>
  <c r="E145" i="3" a="1"/>
  <c r="E145" i="3" s="1"/>
  <c r="H145" i="3" a="1"/>
  <c r="H145" i="3" s="1"/>
  <c r="I145" i="3" a="1"/>
  <c r="I145" i="3" s="1"/>
  <c r="F145" i="3" a="1"/>
  <c r="F145" i="3" s="1"/>
  <c r="G24" i="3" a="1"/>
  <c r="G24" i="3" s="1"/>
  <c r="F24" i="3" a="1"/>
  <c r="F24" i="3" s="1"/>
  <c r="E24" i="3" a="1"/>
  <c r="E24" i="3" s="1"/>
  <c r="I24" i="3" a="1"/>
  <c r="I24" i="3" s="1"/>
  <c r="H24" i="3" a="1"/>
  <c r="H24" i="3" s="1"/>
  <c r="E66" i="3" a="1"/>
  <c r="E66" i="3" s="1"/>
  <c r="G66" i="3" a="1"/>
  <c r="G66" i="3" s="1"/>
  <c r="F66" i="3" a="1"/>
  <c r="F66" i="3" s="1"/>
  <c r="H66" i="3" a="1"/>
  <c r="H66" i="3" s="1"/>
  <c r="I66" i="3" a="1"/>
  <c r="I66" i="3" s="1"/>
  <c r="I7" i="3" a="1"/>
  <c r="I7" i="3" s="1"/>
  <c r="E13" i="3" a="1"/>
  <c r="E13" i="3" s="1"/>
  <c r="I14" i="3" a="1"/>
  <c r="I14" i="3" s="1"/>
  <c r="H14" i="3" a="1"/>
  <c r="H14" i="3" s="1"/>
  <c r="G25" i="3" a="1"/>
  <c r="G25" i="3" s="1"/>
  <c r="H48" i="3" a="1"/>
  <c r="H48" i="3" s="1"/>
  <c r="E60" i="3" a="1"/>
  <c r="E60" i="3" s="1"/>
  <c r="F60" i="3" a="1"/>
  <c r="F60" i="3" s="1"/>
  <c r="G80" i="3" a="1"/>
  <c r="G80" i="3" s="1"/>
  <c r="F80" i="3" a="1"/>
  <c r="F80" i="3" s="1"/>
  <c r="E80" i="3" a="1"/>
  <c r="E80" i="3" s="1"/>
  <c r="H80" i="3" a="1"/>
  <c r="H80" i="3" s="1"/>
  <c r="F91" i="3" a="1"/>
  <c r="F91" i="3" s="1"/>
  <c r="I91" i="3" a="1"/>
  <c r="I91" i="3" s="1"/>
  <c r="H91" i="3" a="1"/>
  <c r="H91" i="3" s="1"/>
  <c r="D112" i="3"/>
  <c r="C112" i="3"/>
  <c r="H121" i="3" a="1"/>
  <c r="H121" i="3" s="1"/>
  <c r="G121" i="3" a="1"/>
  <c r="G121" i="3" s="1"/>
  <c r="D130" i="3"/>
  <c r="C130" i="3"/>
  <c r="I130" i="3" a="1"/>
  <c r="I130" i="3" s="1"/>
  <c r="G9" i="3" a="1"/>
  <c r="G9" i="3" s="1"/>
  <c r="F9" i="3" a="1"/>
  <c r="F9" i="3" s="1"/>
  <c r="I11" i="3" a="1"/>
  <c r="I11" i="3" s="1"/>
  <c r="H11" i="3" a="1"/>
  <c r="H11" i="3" s="1"/>
  <c r="I32" i="3" a="1"/>
  <c r="I32" i="3" s="1"/>
  <c r="H32" i="3" a="1"/>
  <c r="H32" i="3" s="1"/>
  <c r="G32" i="3" a="1"/>
  <c r="G32" i="3" s="1"/>
  <c r="E51" i="3" a="1"/>
  <c r="E51" i="3" s="1"/>
  <c r="I51" i="3" a="1"/>
  <c r="I51" i="3" s="1"/>
  <c r="G68" i="3" a="1"/>
  <c r="G68" i="3" s="1"/>
  <c r="F68" i="3" a="1"/>
  <c r="F68" i="3" s="1"/>
  <c r="E68" i="3" a="1"/>
  <c r="E68" i="3" s="1"/>
  <c r="G71" i="3" a="1"/>
  <c r="G71" i="3" s="1"/>
  <c r="F71" i="3" a="1"/>
  <c r="F71" i="3" s="1"/>
  <c r="H71" i="3" a="1"/>
  <c r="H71" i="3" s="1"/>
  <c r="E71" i="3" a="1"/>
  <c r="E71" i="3" s="1"/>
  <c r="H87" i="3" a="1"/>
  <c r="H87" i="3" s="1"/>
  <c r="F87" i="3" a="1"/>
  <c r="F87" i="3" s="1"/>
  <c r="E87" i="3" a="1"/>
  <c r="E87" i="3" s="1"/>
  <c r="I87" i="3" a="1"/>
  <c r="I87" i="3" s="1"/>
  <c r="G87" i="3" a="1"/>
  <c r="G87" i="3" s="1"/>
  <c r="D121" i="3"/>
  <c r="C121" i="3"/>
  <c r="I8" i="3" a="1"/>
  <c r="I8" i="3" s="1"/>
  <c r="H8" i="3" a="1"/>
  <c r="H8" i="3" s="1"/>
  <c r="C15" i="3"/>
  <c r="C16" i="3"/>
  <c r="D48" i="3"/>
  <c r="I48" i="3" a="1"/>
  <c r="I48" i="3" s="1"/>
  <c r="E63" i="3" a="1"/>
  <c r="E63" i="3" s="1"/>
  <c r="F63" i="3" a="1"/>
  <c r="F63" i="3" s="1"/>
  <c r="D74" i="3"/>
  <c r="F85" i="3" a="1"/>
  <c r="F85" i="3" s="1"/>
  <c r="I85" i="3" a="1"/>
  <c r="I85" i="3" s="1"/>
  <c r="H85" i="3" a="1"/>
  <c r="H85" i="3" s="1"/>
  <c r="G85" i="3" a="1"/>
  <c r="G85" i="3" s="1"/>
  <c r="E85" i="3" a="1"/>
  <c r="E85" i="3" s="1"/>
  <c r="C99" i="3"/>
  <c r="I99" i="3" a="1"/>
  <c r="I99" i="3" s="1"/>
  <c r="G99" i="3" a="1"/>
  <c r="G99" i="3" s="1"/>
  <c r="F99" i="3" a="1"/>
  <c r="F99" i="3" s="1"/>
  <c r="J107" i="3"/>
  <c r="D115" i="3"/>
  <c r="C115" i="3"/>
  <c r="H115" i="3" a="1"/>
  <c r="H115" i="3" s="1"/>
  <c r="I115" i="3" a="1"/>
  <c r="I115" i="3" s="1"/>
  <c r="G115" i="3" a="1"/>
  <c r="G115" i="3" s="1"/>
  <c r="E121" i="3" a="1"/>
  <c r="E121" i="3" s="1"/>
  <c r="F130" i="3" a="1"/>
  <c r="F130" i="3" s="1"/>
  <c r="E152" i="3" a="1"/>
  <c r="E152" i="3" s="1"/>
  <c r="I152" i="3" a="1"/>
  <c r="I152" i="3" s="1"/>
  <c r="H152" i="3" a="1"/>
  <c r="H152" i="3" s="1"/>
  <c r="G152" i="3" a="1"/>
  <c r="G152" i="3" s="1"/>
  <c r="F152" i="3" a="1"/>
  <c r="F152" i="3" s="1"/>
  <c r="I26" i="3" a="1"/>
  <c r="I26" i="3" s="1"/>
  <c r="H26" i="3" a="1"/>
  <c r="H26" i="3" s="1"/>
  <c r="G26" i="3" a="1"/>
  <c r="G26" i="3" s="1"/>
  <c r="E31" i="3" a="1"/>
  <c r="E31" i="3" s="1"/>
  <c r="I31" i="3" a="1"/>
  <c r="I31" i="3" s="1"/>
  <c r="H36" i="3" a="1"/>
  <c r="H36" i="3" s="1"/>
  <c r="G36" i="3" a="1"/>
  <c r="G36" i="3" s="1"/>
  <c r="F36" i="3" a="1"/>
  <c r="F36" i="3" s="1"/>
  <c r="I43" i="3" a="1"/>
  <c r="I43" i="3" s="1"/>
  <c r="H43" i="3" a="1"/>
  <c r="H43" i="3" s="1"/>
  <c r="G43" i="3" a="1"/>
  <c r="G43" i="3" s="1"/>
  <c r="F43" i="3" a="1"/>
  <c r="F43" i="3" s="1"/>
  <c r="E43" i="3" a="1"/>
  <c r="E43" i="3" s="1"/>
  <c r="E45" i="3" a="1"/>
  <c r="E45" i="3" s="1"/>
  <c r="I45" i="3" a="1"/>
  <c r="I45" i="3" s="1"/>
  <c r="H45" i="3" a="1"/>
  <c r="H45" i="3" s="1"/>
  <c r="G45" i="3" a="1"/>
  <c r="G45" i="3" s="1"/>
  <c r="G59" i="3" a="1"/>
  <c r="G59" i="3" s="1"/>
  <c r="F59" i="3" a="1"/>
  <c r="F59" i="3" s="1"/>
  <c r="C71" i="3"/>
  <c r="D71" i="3"/>
  <c r="E91" i="3" a="1"/>
  <c r="E91" i="3" s="1"/>
  <c r="F105" i="3" a="1"/>
  <c r="F105" i="3" s="1"/>
  <c r="G105" i="3" a="1"/>
  <c r="G105" i="3" s="1"/>
  <c r="E105" i="3" a="1"/>
  <c r="E105" i="3" s="1"/>
  <c r="I105" i="3" a="1"/>
  <c r="I105" i="3" s="1"/>
  <c r="H105" i="3" a="1"/>
  <c r="H105" i="3" s="1"/>
  <c r="F121" i="3" a="1"/>
  <c r="F121" i="3" s="1"/>
  <c r="H3" i="3" a="1"/>
  <c r="H3" i="3" s="1"/>
  <c r="J3" i="3" s="1"/>
  <c r="C10" i="3"/>
  <c r="F16" i="3" a="1"/>
  <c r="F16" i="3" s="1"/>
  <c r="H33" i="3" a="1"/>
  <c r="H33" i="3" s="1"/>
  <c r="C41" i="3"/>
  <c r="H60" i="3" a="1"/>
  <c r="H60" i="3" s="1"/>
  <c r="J60" i="3" s="1"/>
  <c r="I80" i="3" a="1"/>
  <c r="I80" i="3" s="1"/>
  <c r="E99" i="3" a="1"/>
  <c r="E99" i="3" s="1"/>
  <c r="F108" i="3" a="1"/>
  <c r="F108" i="3" s="1"/>
  <c r="H108" i="3" a="1"/>
  <c r="H108" i="3" s="1"/>
  <c r="G108" i="3" a="1"/>
  <c r="G108" i="3" s="1"/>
  <c r="E108" i="3" a="1"/>
  <c r="E108" i="3" s="1"/>
  <c r="I108" i="3" a="1"/>
  <c r="I108" i="3" s="1"/>
  <c r="I121" i="3" a="1"/>
  <c r="I121" i="3" s="1"/>
  <c r="D164" i="3"/>
  <c r="C164" i="3"/>
  <c r="E167" i="3" a="1"/>
  <c r="E167" i="3" s="1"/>
  <c r="F167" i="3" a="1"/>
  <c r="F167" i="3" s="1"/>
  <c r="E25" i="3" a="1"/>
  <c r="E25" i="3" s="1"/>
  <c r="I25" i="3" a="1"/>
  <c r="I25" i="3" s="1"/>
  <c r="G30" i="3" a="1"/>
  <c r="G30" i="3" s="1"/>
  <c r="J30" i="3" s="1"/>
  <c r="F30" i="3" a="1"/>
  <c r="F30" i="3" s="1"/>
  <c r="E30" i="3" a="1"/>
  <c r="E30" i="3" s="1"/>
  <c r="F51" i="3" a="1"/>
  <c r="F51" i="3" s="1"/>
  <c r="H68" i="3" a="1"/>
  <c r="H68" i="3" s="1"/>
  <c r="I71" i="3" a="1"/>
  <c r="I71" i="3" s="1"/>
  <c r="D77" i="3"/>
  <c r="F77" i="3" a="1"/>
  <c r="F77" i="3" s="1"/>
  <c r="H77" i="3" a="1"/>
  <c r="H77" i="3" s="1"/>
  <c r="G77" i="3" a="1"/>
  <c r="G77" i="3" s="1"/>
  <c r="H81" i="3" a="1"/>
  <c r="H81" i="3" s="1"/>
  <c r="E81" i="3" a="1"/>
  <c r="E81" i="3" s="1"/>
  <c r="I81" i="3" a="1"/>
  <c r="I81" i="3" s="1"/>
  <c r="G81" i="3" a="1"/>
  <c r="G81" i="3" s="1"/>
  <c r="G91" i="3" a="1"/>
  <c r="G91" i="3" s="1"/>
  <c r="H122" i="3" a="1"/>
  <c r="H122" i="3" s="1"/>
  <c r="G122" i="3" a="1"/>
  <c r="G122" i="3" s="1"/>
  <c r="F122" i="3" a="1"/>
  <c r="F122" i="3" s="1"/>
  <c r="I122" i="3" a="1"/>
  <c r="I122" i="3" s="1"/>
  <c r="E122" i="3" a="1"/>
  <c r="E122" i="3" s="1"/>
  <c r="E197" i="3" a="1"/>
  <c r="E197" i="3" s="1"/>
  <c r="F197" i="3" a="1"/>
  <c r="F197" i="3" s="1"/>
  <c r="E9" i="3" a="1"/>
  <c r="E9" i="3" s="1"/>
  <c r="F10" i="3" a="1"/>
  <c r="F10" i="3" s="1"/>
  <c r="E11" i="3" a="1"/>
  <c r="E11" i="3" s="1"/>
  <c r="G16" i="3" a="1"/>
  <c r="G16" i="3" s="1"/>
  <c r="E32" i="3" a="1"/>
  <c r="E32" i="3" s="1"/>
  <c r="G47" i="3" a="1"/>
  <c r="G47" i="3" s="1"/>
  <c r="F47" i="3" a="1"/>
  <c r="F47" i="3" s="1"/>
  <c r="I47" i="3" a="1"/>
  <c r="I47" i="3" s="1"/>
  <c r="H47" i="3" a="1"/>
  <c r="H47" i="3" s="1"/>
  <c r="E59" i="3" a="1"/>
  <c r="E59" i="3" s="1"/>
  <c r="I60" i="3" a="1"/>
  <c r="I60" i="3" s="1"/>
  <c r="H63" i="3" a="1"/>
  <c r="H63" i="3" s="1"/>
  <c r="J63" i="3" s="1"/>
  <c r="C77" i="3"/>
  <c r="F79" i="3" a="1"/>
  <c r="F79" i="3" s="1"/>
  <c r="H79" i="3" a="1"/>
  <c r="H79" i="3" s="1"/>
  <c r="G79" i="3" a="1"/>
  <c r="G79" i="3" s="1"/>
  <c r="E79" i="3" a="1"/>
  <c r="E79" i="3" s="1"/>
  <c r="H86" i="3" a="1"/>
  <c r="H86" i="3" s="1"/>
  <c r="G86" i="3" a="1"/>
  <c r="G86" i="3" s="1"/>
  <c r="F86" i="3" a="1"/>
  <c r="F86" i="3" s="1"/>
  <c r="F88" i="3" a="1"/>
  <c r="F88" i="3" s="1"/>
  <c r="E88" i="3" a="1"/>
  <c r="E88" i="3" s="1"/>
  <c r="I88" i="3" a="1"/>
  <c r="I88" i="3" s="1"/>
  <c r="F100" i="3" a="1"/>
  <c r="F100" i="3" s="1"/>
  <c r="E100" i="3" a="1"/>
  <c r="E100" i="3" s="1"/>
  <c r="I100" i="3" a="1"/>
  <c r="I100" i="3" s="1"/>
  <c r="H100" i="3" a="1"/>
  <c r="H100" i="3" s="1"/>
  <c r="G100" i="3" a="1"/>
  <c r="G100" i="3" s="1"/>
  <c r="D105" i="3"/>
  <c r="F117" i="3" a="1"/>
  <c r="F117" i="3" s="1"/>
  <c r="I117" i="3" a="1"/>
  <c r="I117" i="3" s="1"/>
  <c r="H117" i="3" a="1"/>
  <c r="H117" i="3" s="1"/>
  <c r="G117" i="3" a="1"/>
  <c r="G117" i="3" s="1"/>
  <c r="E117" i="3" a="1"/>
  <c r="E117" i="3" s="1"/>
  <c r="G139" i="3" a="1"/>
  <c r="G139" i="3" s="1"/>
  <c r="F139" i="3" a="1"/>
  <c r="F139" i="3" s="1"/>
  <c r="E139" i="3" a="1"/>
  <c r="E139" i="3" s="1"/>
  <c r="I139" i="3" a="1"/>
  <c r="I139" i="3" s="1"/>
  <c r="H139" i="3" a="1"/>
  <c r="H139" i="3" s="1"/>
  <c r="F162" i="3" a="1"/>
  <c r="F162" i="3" s="1"/>
  <c r="E162" i="3" a="1"/>
  <c r="E162" i="3" s="1"/>
  <c r="E187" i="3" a="1"/>
  <c r="E187" i="3" s="1"/>
  <c r="F187" i="3" a="1"/>
  <c r="F187" i="3" s="1"/>
  <c r="G2" i="3" a="1"/>
  <c r="G2" i="3" s="1"/>
  <c r="F2" i="3" a="1"/>
  <c r="F2" i="3" s="1"/>
  <c r="I4" i="3" a="1"/>
  <c r="I4" i="3" s="1"/>
  <c r="H4" i="3" a="1"/>
  <c r="H4" i="3" s="1"/>
  <c r="H5" i="3" a="1"/>
  <c r="H5" i="3" s="1"/>
  <c r="J5" i="3" s="1"/>
  <c r="F7" i="3" a="1"/>
  <c r="F7" i="3" s="1"/>
  <c r="E8" i="3" a="1"/>
  <c r="E8" i="3" s="1"/>
  <c r="G13" i="3" a="1"/>
  <c r="G13" i="3" s="1"/>
  <c r="F14" i="3" a="1"/>
  <c r="F14" i="3" s="1"/>
  <c r="H19" i="3" a="1"/>
  <c r="H19" i="3" s="1"/>
  <c r="J19" i="3" s="1"/>
  <c r="E36" i="3" a="1"/>
  <c r="E36" i="3" s="1"/>
  <c r="E39" i="3" a="1"/>
  <c r="E39" i="3" s="1"/>
  <c r="I39" i="3" a="1"/>
  <c r="I39" i="3" s="1"/>
  <c r="E41" i="3" a="1"/>
  <c r="E41" i="3" s="1"/>
  <c r="F45" i="3" a="1"/>
  <c r="F45" i="3" s="1"/>
  <c r="G48" i="3" a="1"/>
  <c r="G48" i="3" s="1"/>
  <c r="C50" i="3"/>
  <c r="I50" i="3" a="1"/>
  <c r="I50" i="3" s="1"/>
  <c r="G51" i="3" a="1"/>
  <c r="G51" i="3" s="1"/>
  <c r="G53" i="3" a="1"/>
  <c r="G53" i="3" s="1"/>
  <c r="F53" i="3" a="1"/>
  <c r="F53" i="3" s="1"/>
  <c r="I53" i="3" a="1"/>
  <c r="I53" i="3" s="1"/>
  <c r="G62" i="3" a="1"/>
  <c r="G62" i="3" s="1"/>
  <c r="F62" i="3" a="1"/>
  <c r="F62" i="3" s="1"/>
  <c r="E62" i="3" a="1"/>
  <c r="E62" i="3" s="1"/>
  <c r="I68" i="3" a="1"/>
  <c r="I68" i="3" s="1"/>
  <c r="E77" i="3" a="1"/>
  <c r="E77" i="3" s="1"/>
  <c r="D88" i="3"/>
  <c r="C88" i="3"/>
  <c r="G10" i="3" a="1"/>
  <c r="G10" i="3" s="1"/>
  <c r="F11" i="3" a="1"/>
  <c r="F11" i="3" s="1"/>
  <c r="G14" i="3" a="1"/>
  <c r="G14" i="3" s="1"/>
  <c r="H16" i="3" a="1"/>
  <c r="H16" i="3" s="1"/>
  <c r="I23" i="3" a="1"/>
  <c r="I23" i="3" s="1"/>
  <c r="H23" i="3" a="1"/>
  <c r="H23" i="3" s="1"/>
  <c r="G23" i="3" a="1"/>
  <c r="G23" i="3" s="1"/>
  <c r="J23" i="3" s="1"/>
  <c r="E26" i="3" a="1"/>
  <c r="E26" i="3" s="1"/>
  <c r="I29" i="3" a="1"/>
  <c r="I29" i="3" s="1"/>
  <c r="H29" i="3" a="1"/>
  <c r="H29" i="3" s="1"/>
  <c r="G29" i="3" a="1"/>
  <c r="G29" i="3" s="1"/>
  <c r="C30" i="3"/>
  <c r="F31" i="3" a="1"/>
  <c r="F31" i="3" s="1"/>
  <c r="F32" i="3" a="1"/>
  <c r="F32" i="3" s="1"/>
  <c r="E34" i="3" a="1"/>
  <c r="E34" i="3" s="1"/>
  <c r="I34" i="3" a="1"/>
  <c r="I34" i="3" s="1"/>
  <c r="G38" i="3" a="1"/>
  <c r="G38" i="3" s="1"/>
  <c r="J38" i="3" s="1"/>
  <c r="E38" i="3" a="1"/>
  <c r="E38" i="3" s="1"/>
  <c r="D47" i="3"/>
  <c r="D50" i="3"/>
  <c r="H51" i="3" a="1"/>
  <c r="H51" i="3" s="1"/>
  <c r="I63" i="3" a="1"/>
  <c r="I63" i="3" s="1"/>
  <c r="E69" i="3" a="1"/>
  <c r="E69" i="3" s="1"/>
  <c r="H69" i="3" a="1"/>
  <c r="H69" i="3" s="1"/>
  <c r="G69" i="3" a="1"/>
  <c r="G69" i="3" s="1"/>
  <c r="F69" i="3" a="1"/>
  <c r="F69" i="3" s="1"/>
  <c r="F81" i="3" a="1"/>
  <c r="F81" i="3" s="1"/>
  <c r="E86" i="3" a="1"/>
  <c r="E86" i="3" s="1"/>
  <c r="G88" i="3" a="1"/>
  <c r="G88" i="3" s="1"/>
  <c r="I144" i="3" a="1"/>
  <c r="I144" i="3" s="1"/>
  <c r="G144" i="3" a="1"/>
  <c r="G144" i="3" s="1"/>
  <c r="F144" i="3" a="1"/>
  <c r="F144" i="3" s="1"/>
  <c r="H144" i="3" a="1"/>
  <c r="H144" i="3" s="1"/>
  <c r="E144" i="3" a="1"/>
  <c r="E144" i="3" s="1"/>
  <c r="H154" i="3" a="1"/>
  <c r="H154" i="3" s="1"/>
  <c r="F154" i="3" a="1"/>
  <c r="F154" i="3" s="1"/>
  <c r="G154" i="3" a="1"/>
  <c r="G154" i="3" s="1"/>
  <c r="I154" i="3" a="1"/>
  <c r="I154" i="3" s="1"/>
  <c r="E154" i="3" a="1"/>
  <c r="E154" i="3" s="1"/>
  <c r="G7" i="3" a="1"/>
  <c r="G7" i="3" s="1"/>
  <c r="F8" i="3" a="1"/>
  <c r="F8" i="3" s="1"/>
  <c r="H9" i="3" a="1"/>
  <c r="H9" i="3" s="1"/>
  <c r="G11" i="3" a="1"/>
  <c r="G11" i="3" s="1"/>
  <c r="H13" i="3" a="1"/>
  <c r="H13" i="3" s="1"/>
  <c r="E22" i="3" a="1"/>
  <c r="E22" i="3" s="1"/>
  <c r="I22" i="3" a="1"/>
  <c r="I22" i="3" s="1"/>
  <c r="I36" i="3" a="1"/>
  <c r="I36" i="3" s="1"/>
  <c r="F39" i="3" a="1"/>
  <c r="F39" i="3" s="1"/>
  <c r="E42" i="3" a="1"/>
  <c r="E42" i="3" s="1"/>
  <c r="I42" i="3" a="1"/>
  <c r="I42" i="3" s="1"/>
  <c r="H42" i="3" a="1"/>
  <c r="H42" i="3" s="1"/>
  <c r="G42" i="3" a="1"/>
  <c r="G42" i="3" s="1"/>
  <c r="H59" i="3" a="1"/>
  <c r="H59" i="3" s="1"/>
  <c r="C72" i="3"/>
  <c r="F76" i="3" a="1"/>
  <c r="F76" i="3" s="1"/>
  <c r="G76" i="3" a="1"/>
  <c r="G76" i="3" s="1"/>
  <c r="I76" i="3" a="1"/>
  <c r="I76" i="3" s="1"/>
  <c r="H76" i="3" a="1"/>
  <c r="H76" i="3" s="1"/>
  <c r="I98" i="3" a="1"/>
  <c r="I98" i="3" s="1"/>
  <c r="H98" i="3" a="1"/>
  <c r="H98" i="3" s="1"/>
  <c r="F98" i="3" a="1"/>
  <c r="F98" i="3" s="1"/>
  <c r="G98" i="3" a="1"/>
  <c r="G98" i="3" s="1"/>
  <c r="E98" i="3" a="1"/>
  <c r="E98" i="3" s="1"/>
  <c r="I101" i="3" a="1"/>
  <c r="I101" i="3" s="1"/>
  <c r="H101" i="3" a="1"/>
  <c r="H101" i="3" s="1"/>
  <c r="G101" i="3" a="1"/>
  <c r="G101" i="3" s="1"/>
  <c r="E101" i="3" a="1"/>
  <c r="E101" i="3" s="1"/>
  <c r="C137" i="3"/>
  <c r="I137" i="3" a="1"/>
  <c r="I137" i="3" s="1"/>
  <c r="D137" i="3"/>
  <c r="E140" i="3" a="1"/>
  <c r="E140" i="3" s="1"/>
  <c r="I140" i="3" a="1"/>
  <c r="I140" i="3" s="1"/>
  <c r="H140" i="3" a="1"/>
  <c r="H140" i="3" s="1"/>
  <c r="F140" i="3" a="1"/>
  <c r="F140" i="3" s="1"/>
  <c r="G140" i="3" a="1"/>
  <c r="G140" i="3" s="1"/>
  <c r="E5" i="3" a="1"/>
  <c r="E5" i="3" s="1"/>
  <c r="G8" i="3" a="1"/>
  <c r="G8" i="3" s="1"/>
  <c r="H10" i="3" a="1"/>
  <c r="H10" i="3" s="1"/>
  <c r="I13" i="3" a="1"/>
  <c r="I13" i="3" s="1"/>
  <c r="G18" i="3" a="1"/>
  <c r="G18" i="3" s="1"/>
  <c r="F18" i="3" a="1"/>
  <c r="F18" i="3" s="1"/>
  <c r="E19" i="3" a="1"/>
  <c r="E19" i="3" s="1"/>
  <c r="I20" i="3" a="1"/>
  <c r="I20" i="3" s="1"/>
  <c r="H20" i="3" a="1"/>
  <c r="H20" i="3" s="1"/>
  <c r="F25" i="3" a="1"/>
  <c r="F25" i="3" s="1"/>
  <c r="F26" i="3" a="1"/>
  <c r="F26" i="3" s="1"/>
  <c r="E28" i="3" a="1"/>
  <c r="E28" i="3" s="1"/>
  <c r="I28" i="3" a="1"/>
  <c r="I28" i="3" s="1"/>
  <c r="G31" i="3" a="1"/>
  <c r="G31" i="3" s="1"/>
  <c r="G33" i="3" a="1"/>
  <c r="G33" i="3" s="1"/>
  <c r="F33" i="3" a="1"/>
  <c r="F33" i="3" s="1"/>
  <c r="E33" i="3" a="1"/>
  <c r="E33" i="3" s="1"/>
  <c r="E47" i="3" a="1"/>
  <c r="E47" i="3" s="1"/>
  <c r="E50" i="3" a="1"/>
  <c r="E50" i="3" s="1"/>
  <c r="F57" i="3" a="1"/>
  <c r="F57" i="3" s="1"/>
  <c r="G65" i="3" a="1"/>
  <c r="G65" i="3" s="1"/>
  <c r="F65" i="3" a="1"/>
  <c r="F65" i="3" s="1"/>
  <c r="E65" i="3" a="1"/>
  <c r="E65" i="3" s="1"/>
  <c r="D69" i="3"/>
  <c r="C69" i="3"/>
  <c r="I79" i="3" a="1"/>
  <c r="I79" i="3" s="1"/>
  <c r="H88" i="3" a="1"/>
  <c r="H88" i="3" s="1"/>
  <c r="C96" i="3"/>
  <c r="I96" i="3" a="1"/>
  <c r="I96" i="3" s="1"/>
  <c r="G96" i="3" a="1"/>
  <c r="G96" i="3" s="1"/>
  <c r="F96" i="3" a="1"/>
  <c r="F96" i="3" s="1"/>
  <c r="E96" i="3" a="1"/>
  <c r="E96" i="3" s="1"/>
  <c r="H112" i="3" a="1"/>
  <c r="H112" i="3" s="1"/>
  <c r="G112" i="3" a="1"/>
  <c r="G112" i="3" s="1"/>
  <c r="F112" i="3" a="1"/>
  <c r="F112" i="3" s="1"/>
  <c r="B97" i="4"/>
  <c r="B85" i="4"/>
  <c r="B73" i="4"/>
  <c r="B61" i="4"/>
  <c r="B49" i="4"/>
  <c r="B37" i="4"/>
  <c r="B25" i="4"/>
  <c r="B13" i="4"/>
  <c r="B7" i="4"/>
  <c r="B92" i="4"/>
  <c r="B80" i="4"/>
  <c r="B68" i="4"/>
  <c r="B56" i="4"/>
  <c r="B44" i="4"/>
  <c r="B32" i="4"/>
  <c r="B20" i="4"/>
  <c r="B99" i="4"/>
  <c r="B87" i="4"/>
  <c r="B75" i="4"/>
  <c r="B63" i="4"/>
  <c r="B51" i="4"/>
  <c r="B39" i="4"/>
  <c r="B27" i="4"/>
  <c r="B15" i="4"/>
  <c r="B8" i="4"/>
  <c r="B94" i="4"/>
  <c r="B82" i="4"/>
  <c r="B70" i="4"/>
  <c r="B58" i="4"/>
  <c r="B46" i="4"/>
  <c r="B34" i="4"/>
  <c r="B22" i="4"/>
  <c r="B101" i="4"/>
  <c r="B89" i="4"/>
  <c r="B77" i="4"/>
  <c r="B65" i="4"/>
  <c r="B53" i="4"/>
  <c r="B41" i="4"/>
  <c r="B29" i="4"/>
  <c r="B9" i="4"/>
  <c r="B2" i="4"/>
  <c r="B96" i="4"/>
  <c r="B84" i="4"/>
  <c r="B72" i="4"/>
  <c r="B60" i="4"/>
  <c r="B48" i="4"/>
  <c r="B36" i="4"/>
  <c r="B24" i="4"/>
  <c r="B16" i="4"/>
  <c r="B91" i="4"/>
  <c r="B79" i="4"/>
  <c r="B67" i="4"/>
  <c r="B55" i="4"/>
  <c r="B43" i="4"/>
  <c r="B31" i="4"/>
  <c r="B19" i="4"/>
  <c r="B10" i="4"/>
  <c r="B4" i="4"/>
  <c r="B98" i="4"/>
  <c r="B86" i="4"/>
  <c r="B74" i="4"/>
  <c r="B62" i="4"/>
  <c r="B50" i="4"/>
  <c r="B38" i="4"/>
  <c r="B26" i="4"/>
  <c r="B14" i="4"/>
  <c r="B93" i="4"/>
  <c r="B81" i="4"/>
  <c r="B69" i="4"/>
  <c r="B57" i="4"/>
  <c r="B45" i="4"/>
  <c r="B33" i="4"/>
  <c r="B21" i="4"/>
  <c r="B17" i="4"/>
  <c r="B11" i="4"/>
  <c r="B5" i="4"/>
  <c r="B100" i="4"/>
  <c r="B88" i="4"/>
  <c r="B76" i="4"/>
  <c r="B64" i="4"/>
  <c r="B52" i="4"/>
  <c r="B40" i="4"/>
  <c r="B28" i="4"/>
  <c r="B95" i="4"/>
  <c r="B83" i="4"/>
  <c r="B71" i="4"/>
  <c r="B59" i="4"/>
  <c r="B47" i="4"/>
  <c r="B35" i="4"/>
  <c r="B23" i="4"/>
  <c r="B12" i="4"/>
  <c r="B6" i="4"/>
  <c r="B90" i="4"/>
  <c r="B78" i="4"/>
  <c r="B66" i="4"/>
  <c r="B54" i="4"/>
  <c r="B42" i="4"/>
  <c r="B30" i="4"/>
  <c r="B18" i="4"/>
  <c r="B3" i="4"/>
  <c r="C92" i="4"/>
  <c r="C80" i="4"/>
  <c r="C68" i="4"/>
  <c r="C56" i="4"/>
  <c r="C44" i="4"/>
  <c r="C32" i="4"/>
  <c r="C20" i="4"/>
  <c r="C99" i="4"/>
  <c r="C87" i="4"/>
  <c r="C75" i="4"/>
  <c r="C63" i="4"/>
  <c r="C51" i="4"/>
  <c r="C39" i="4"/>
  <c r="C27" i="4"/>
  <c r="C15" i="4"/>
  <c r="C8" i="4"/>
  <c r="C94" i="4"/>
  <c r="C82" i="4"/>
  <c r="C70" i="4"/>
  <c r="C58" i="4"/>
  <c r="C46" i="4"/>
  <c r="C34" i="4"/>
  <c r="C22" i="4"/>
  <c r="C101" i="4"/>
  <c r="C89" i="4"/>
  <c r="C77" i="4"/>
  <c r="C65" i="4"/>
  <c r="C53" i="4"/>
  <c r="C41" i="4"/>
  <c r="C29" i="4"/>
  <c r="C9" i="4"/>
  <c r="C2" i="4"/>
  <c r="C96" i="4"/>
  <c r="C84" i="4"/>
  <c r="C72" i="4"/>
  <c r="C60" i="4"/>
  <c r="C48" i="4"/>
  <c r="C36" i="4"/>
  <c r="C24" i="4"/>
  <c r="C16" i="4"/>
  <c r="C91" i="4"/>
  <c r="C79" i="4"/>
  <c r="C67" i="4"/>
  <c r="C55" i="4"/>
  <c r="C43" i="4"/>
  <c r="C31" i="4"/>
  <c r="C19" i="4"/>
  <c r="C10" i="4"/>
  <c r="C4" i="4"/>
  <c r="C98" i="4"/>
  <c r="C86" i="4"/>
  <c r="C74" i="4"/>
  <c r="C62" i="4"/>
  <c r="C50" i="4"/>
  <c r="C38" i="4"/>
  <c r="C26" i="4"/>
  <c r="C14" i="4"/>
  <c r="C93" i="4"/>
  <c r="C81" i="4"/>
  <c r="C69" i="4"/>
  <c r="C57" i="4"/>
  <c r="C45" i="4"/>
  <c r="C33" i="4"/>
  <c r="C21" i="4"/>
  <c r="C17" i="4"/>
  <c r="C11" i="4"/>
  <c r="C5" i="4"/>
  <c r="C100" i="4"/>
  <c r="C88" i="4"/>
  <c r="C76" i="4"/>
  <c r="C64" i="4"/>
  <c r="C52" i="4"/>
  <c r="C40" i="4"/>
  <c r="C28" i="4"/>
  <c r="C95" i="4"/>
  <c r="C83" i="4"/>
  <c r="C71" i="4"/>
  <c r="C59" i="4"/>
  <c r="C47" i="4"/>
  <c r="C35" i="4"/>
  <c r="C23" i="4"/>
  <c r="C12" i="4"/>
  <c r="C6" i="4"/>
  <c r="C90" i="4"/>
  <c r="C78" i="4"/>
  <c r="C66" i="4"/>
  <c r="C54" i="4"/>
  <c r="C42" i="4"/>
  <c r="C30" i="4"/>
  <c r="C18" i="4"/>
  <c r="C3" i="4"/>
  <c r="C97" i="4"/>
  <c r="C85" i="4"/>
  <c r="C73" i="4"/>
  <c r="C61" i="4"/>
  <c r="C49" i="4"/>
  <c r="C37" i="4"/>
  <c r="C25" i="4"/>
  <c r="C13" i="4"/>
  <c r="C7" i="4"/>
  <c r="D99" i="4"/>
  <c r="D87" i="4"/>
  <c r="D75" i="4"/>
  <c r="D63" i="4"/>
  <c r="D51" i="4"/>
  <c r="D39" i="4"/>
  <c r="D27" i="4"/>
  <c r="D15" i="4"/>
  <c r="D8" i="4"/>
  <c r="D94" i="4"/>
  <c r="D82" i="4"/>
  <c r="D70" i="4"/>
  <c r="D58" i="4"/>
  <c r="D46" i="4"/>
  <c r="D34" i="4"/>
  <c r="D22" i="4"/>
  <c r="D101" i="4"/>
  <c r="D89" i="4"/>
  <c r="D77" i="4"/>
  <c r="D65" i="4"/>
  <c r="D53" i="4"/>
  <c r="D41" i="4"/>
  <c r="D29" i="4"/>
  <c r="D9" i="4"/>
  <c r="D2" i="4"/>
  <c r="D96" i="4"/>
  <c r="D84" i="4"/>
  <c r="D72" i="4"/>
  <c r="D60" i="4"/>
  <c r="D48" i="4"/>
  <c r="D36" i="4"/>
  <c r="D24" i="4"/>
  <c r="D16" i="4"/>
  <c r="D91" i="4"/>
  <c r="D79" i="4"/>
  <c r="D67" i="4"/>
  <c r="D55" i="4"/>
  <c r="D43" i="4"/>
  <c r="D31" i="4"/>
  <c r="D19" i="4"/>
  <c r="D10" i="4"/>
  <c r="D4" i="4"/>
  <c r="D98" i="4"/>
  <c r="D86" i="4"/>
  <c r="D74" i="4"/>
  <c r="D62" i="4"/>
  <c r="D50" i="4"/>
  <c r="D38" i="4"/>
  <c r="D26" i="4"/>
  <c r="D14" i="4"/>
  <c r="D93" i="4"/>
  <c r="D81" i="4"/>
  <c r="D69" i="4"/>
  <c r="D57" i="4"/>
  <c r="D45" i="4"/>
  <c r="D33" i="4"/>
  <c r="D21" i="4"/>
  <c r="D17" i="4"/>
  <c r="D11" i="4"/>
  <c r="D5" i="4"/>
  <c r="D100" i="4"/>
  <c r="D88" i="4"/>
  <c r="D76" i="4"/>
  <c r="D64" i="4"/>
  <c r="D52" i="4"/>
  <c r="D40" i="4"/>
  <c r="D28" i="4"/>
  <c r="D95" i="4"/>
  <c r="D83" i="4"/>
  <c r="D71" i="4"/>
  <c r="D59" i="4"/>
  <c r="D47" i="4"/>
  <c r="D35" i="4"/>
  <c r="D23" i="4"/>
  <c r="D12" i="4"/>
  <c r="D6" i="4"/>
  <c r="D90" i="4"/>
  <c r="D78" i="4"/>
  <c r="D66" i="4"/>
  <c r="D54" i="4"/>
  <c r="D42" i="4"/>
  <c r="D30" i="4"/>
  <c r="D18" i="4"/>
  <c r="D3" i="4"/>
  <c r="D97" i="4"/>
  <c r="D85" i="4"/>
  <c r="D73" i="4"/>
  <c r="D61" i="4"/>
  <c r="D49" i="4"/>
  <c r="D37" i="4"/>
  <c r="D25" i="4"/>
  <c r="D13" i="4"/>
  <c r="D7" i="4"/>
  <c r="D92" i="4"/>
  <c r="D80" i="4"/>
  <c r="D68" i="4"/>
  <c r="D56" i="4"/>
  <c r="D44" i="4"/>
  <c r="D32" i="4"/>
  <c r="D20" i="4"/>
  <c r="H7" i="3" a="1"/>
  <c r="H7" i="3" s="1"/>
  <c r="I9" i="3" a="1"/>
  <c r="I9" i="3" s="1"/>
  <c r="I10" i="3" a="1"/>
  <c r="I10" i="3" s="1"/>
  <c r="E16" i="3" a="1"/>
  <c r="E16" i="3" s="1"/>
  <c r="I17" i="3" a="1"/>
  <c r="I17" i="3" s="1"/>
  <c r="H17" i="3" a="1"/>
  <c r="H17" i="3" s="1"/>
  <c r="H30" i="3" a="1"/>
  <c r="H30" i="3" s="1"/>
  <c r="I37" i="3" a="1"/>
  <c r="I37" i="3" s="1"/>
  <c r="J37" i="3" s="1"/>
  <c r="F37" i="3" a="1"/>
  <c r="F37" i="3" s="1"/>
  <c r="E37" i="3" a="1"/>
  <c r="E37" i="3" s="1"/>
  <c r="G39" i="3" a="1"/>
  <c r="G39" i="3" s="1"/>
  <c r="E53" i="3" a="1"/>
  <c r="E53" i="3" s="1"/>
  <c r="I59" i="3" a="1"/>
  <c r="I59" i="3" s="1"/>
  <c r="H62" i="3" a="1"/>
  <c r="H62" i="3" s="1"/>
  <c r="I86" i="3" a="1"/>
  <c r="I86" i="3" s="1"/>
  <c r="D96" i="3"/>
  <c r="G151" i="3" a="1"/>
  <c r="G151" i="3" s="1"/>
  <c r="E151" i="3" a="1"/>
  <c r="E151" i="3" s="1"/>
  <c r="I151" i="3" a="1"/>
  <c r="I151" i="3" s="1"/>
  <c r="H151" i="3" a="1"/>
  <c r="H151" i="3" s="1"/>
  <c r="F151" i="3" a="1"/>
  <c r="F151" i="3" s="1"/>
  <c r="H160" i="3" a="1"/>
  <c r="H160" i="3" s="1"/>
  <c r="F160" i="3" a="1"/>
  <c r="F160" i="3" s="1"/>
  <c r="G160" i="3" a="1"/>
  <c r="G160" i="3" s="1"/>
  <c r="E160" i="3" a="1"/>
  <c r="E160" i="3" s="1"/>
  <c r="I160" i="3" a="1"/>
  <c r="I160" i="3" s="1"/>
  <c r="G40" i="3" a="1"/>
  <c r="G40" i="3" s="1"/>
  <c r="I54" i="3" a="1"/>
  <c r="I54" i="3" s="1"/>
  <c r="H104" i="3" a="1"/>
  <c r="H104" i="3" s="1"/>
  <c r="G104" i="3" a="1"/>
  <c r="G104" i="3" s="1"/>
  <c r="F104" i="3" a="1"/>
  <c r="F104" i="3" s="1"/>
  <c r="E104" i="3" a="1"/>
  <c r="E104" i="3" s="1"/>
  <c r="D106" i="3"/>
  <c r="C106" i="3"/>
  <c r="F200" i="3" a="1"/>
  <c r="F200" i="3" s="1"/>
  <c r="E200" i="3" a="1"/>
  <c r="E200" i="3" s="1"/>
  <c r="H35" i="3" a="1"/>
  <c r="H35" i="3" s="1"/>
  <c r="C102" i="3"/>
  <c r="H102" i="3" a="1"/>
  <c r="H102" i="3" s="1"/>
  <c r="G102" i="3" a="1"/>
  <c r="G102" i="3" s="1"/>
  <c r="I118" i="3" a="1"/>
  <c r="I118" i="3" s="1"/>
  <c r="H118" i="3" a="1"/>
  <c r="H118" i="3" s="1"/>
  <c r="J118" i="3" s="1"/>
  <c r="E131" i="3" a="1"/>
  <c r="E131" i="3" s="1"/>
  <c r="H131" i="3" a="1"/>
  <c r="H131" i="3" s="1"/>
  <c r="G131" i="3" a="1"/>
  <c r="G131" i="3" s="1"/>
  <c r="F131" i="3" a="1"/>
  <c r="F131" i="3" s="1"/>
  <c r="I131" i="3" a="1"/>
  <c r="I131" i="3" s="1"/>
  <c r="H158" i="3" a="1"/>
  <c r="H158" i="3" s="1"/>
  <c r="F158" i="3" a="1"/>
  <c r="F158" i="3" s="1"/>
  <c r="G158" i="3" a="1"/>
  <c r="G158" i="3" s="1"/>
  <c r="I158" i="3" a="1"/>
  <c r="I158" i="3" s="1"/>
  <c r="E158" i="3" a="1"/>
  <c r="E158" i="3" s="1"/>
  <c r="E179" i="3" a="1"/>
  <c r="E179" i="3" s="1"/>
  <c r="F179" i="3" a="1"/>
  <c r="F179" i="3" s="1"/>
  <c r="H40" i="3" a="1"/>
  <c r="H40" i="3" s="1"/>
  <c r="G56" i="3" a="1"/>
  <c r="G56" i="3" s="1"/>
  <c r="F56" i="3" a="1"/>
  <c r="F56" i="3" s="1"/>
  <c r="C63" i="3"/>
  <c r="F89" i="3" a="1"/>
  <c r="F89" i="3" s="1"/>
  <c r="E89" i="3" a="1"/>
  <c r="E89" i="3" s="1"/>
  <c r="C100" i="3"/>
  <c r="D102" i="3"/>
  <c r="F123" i="3" a="1"/>
  <c r="F123" i="3" s="1"/>
  <c r="G123" i="3" a="1"/>
  <c r="G123" i="3" s="1"/>
  <c r="E123" i="3" a="1"/>
  <c r="E123" i="3" s="1"/>
  <c r="I123" i="3" a="1"/>
  <c r="I123" i="3" s="1"/>
  <c r="C131" i="3"/>
  <c r="D131" i="3"/>
  <c r="C39" i="3"/>
  <c r="C60" i="3"/>
  <c r="D62" i="3"/>
  <c r="H78" i="3" a="1"/>
  <c r="H78" i="3" s="1"/>
  <c r="I78" i="3" a="1"/>
  <c r="I78" i="3" s="1"/>
  <c r="G78" i="3" a="1"/>
  <c r="G78" i="3" s="1"/>
  <c r="D79" i="3"/>
  <c r="F82" i="3" a="1"/>
  <c r="F82" i="3" s="1"/>
  <c r="H82" i="3" a="1"/>
  <c r="H82" i="3" s="1"/>
  <c r="J82" i="3" s="1"/>
  <c r="E92" i="3" a="1"/>
  <c r="E92" i="3" s="1"/>
  <c r="H92" i="3" a="1"/>
  <c r="H92" i="3" s="1"/>
  <c r="J92" i="3" s="1"/>
  <c r="E102" i="3" a="1"/>
  <c r="E102" i="3" s="1"/>
  <c r="H106" i="3" a="1"/>
  <c r="H106" i="3" s="1"/>
  <c r="I109" i="3" a="1"/>
  <c r="I109" i="3" s="1"/>
  <c r="H109" i="3" a="1"/>
  <c r="H109" i="3" s="1"/>
  <c r="G109" i="3" a="1"/>
  <c r="G109" i="3" s="1"/>
  <c r="J109" i="3" s="1"/>
  <c r="E109" i="3" a="1"/>
  <c r="E109" i="3" s="1"/>
  <c r="F129" i="3" a="1"/>
  <c r="F129" i="3" s="1"/>
  <c r="I129" i="3" a="1"/>
  <c r="I129" i="3" s="1"/>
  <c r="H129" i="3" a="1"/>
  <c r="H129" i="3" s="1"/>
  <c r="G129" i="3" a="1"/>
  <c r="G129" i="3" s="1"/>
  <c r="E129" i="3" a="1"/>
  <c r="E129" i="3" s="1"/>
  <c r="I132" i="3" a="1"/>
  <c r="I132" i="3" s="1"/>
  <c r="F132" i="3" a="1"/>
  <c r="F132" i="3" s="1"/>
  <c r="G132" i="3" a="1"/>
  <c r="G132" i="3" s="1"/>
  <c r="J132" i="3" s="1"/>
  <c r="E132" i="3" a="1"/>
  <c r="E132" i="3" s="1"/>
  <c r="E134" i="3" a="1"/>
  <c r="E134" i="3" s="1"/>
  <c r="H134" i="3" a="1"/>
  <c r="H134" i="3" s="1"/>
  <c r="G134" i="3" a="1"/>
  <c r="G134" i="3" s="1"/>
  <c r="F134" i="3" a="1"/>
  <c r="F134" i="3" s="1"/>
  <c r="I134" i="3" a="1"/>
  <c r="I134" i="3" s="1"/>
  <c r="G41" i="3" a="1"/>
  <c r="G41" i="3" s="1"/>
  <c r="I41" i="3" a="1"/>
  <c r="I41" i="3" s="1"/>
  <c r="E48" i="3" a="1"/>
  <c r="E48" i="3" s="1"/>
  <c r="G50" i="3" a="1"/>
  <c r="G50" i="3" s="1"/>
  <c r="F50" i="3" a="1"/>
  <c r="F50" i="3" s="1"/>
  <c r="F102" i="3" a="1"/>
  <c r="F102" i="3" s="1"/>
  <c r="I104" i="3" a="1"/>
  <c r="I104" i="3" s="1"/>
  <c r="I106" i="3" a="1"/>
  <c r="I106" i="3" s="1"/>
  <c r="F111" i="3" a="1"/>
  <c r="F111" i="3" s="1"/>
  <c r="I111" i="3" a="1"/>
  <c r="I111" i="3" s="1"/>
  <c r="H111" i="3" a="1"/>
  <c r="H111" i="3" s="1"/>
  <c r="G111" i="3" a="1"/>
  <c r="G111" i="3" s="1"/>
  <c r="E111" i="3" a="1"/>
  <c r="E111" i="3" s="1"/>
  <c r="F114" i="3" a="1"/>
  <c r="F114" i="3" s="1"/>
  <c r="G114" i="3" a="1"/>
  <c r="G114" i="3" s="1"/>
  <c r="E114" i="3" a="1"/>
  <c r="E114" i="3" s="1"/>
  <c r="I114" i="3" a="1"/>
  <c r="I114" i="3" s="1"/>
  <c r="H114" i="3" a="1"/>
  <c r="H114" i="3" s="1"/>
  <c r="E118" i="3" a="1"/>
  <c r="E118" i="3" s="1"/>
  <c r="E120" i="3" a="1"/>
  <c r="E120" i="3" s="1"/>
  <c r="D120" i="3"/>
  <c r="C123" i="3"/>
  <c r="D123" i="3"/>
  <c r="D125" i="3"/>
  <c r="C125" i="3"/>
  <c r="I125" i="3" a="1"/>
  <c r="I125" i="3" s="1"/>
  <c r="G125" i="3" a="1"/>
  <c r="G125" i="3" s="1"/>
  <c r="F125" i="3" a="1"/>
  <c r="F125" i="3" s="1"/>
  <c r="I147" i="3" a="1"/>
  <c r="I147" i="3" s="1"/>
  <c r="G147" i="3" a="1"/>
  <c r="G147" i="3" s="1"/>
  <c r="F147" i="3" a="1"/>
  <c r="F147" i="3" s="1"/>
  <c r="H147" i="3" a="1"/>
  <c r="H147" i="3" s="1"/>
  <c r="E147" i="3" a="1"/>
  <c r="E147" i="3" s="1"/>
  <c r="F156" i="3" a="1"/>
  <c r="F156" i="3" s="1"/>
  <c r="H156" i="3" a="1"/>
  <c r="H156" i="3" s="1"/>
  <c r="G156" i="3" a="1"/>
  <c r="G156" i="3" s="1"/>
  <c r="E156" i="3" a="1"/>
  <c r="E156" i="3" s="1"/>
  <c r="E171" i="3" a="1"/>
  <c r="E171" i="3" s="1"/>
  <c r="F171" i="3" a="1"/>
  <c r="F171" i="3" s="1"/>
  <c r="C54" i="3"/>
  <c r="D56" i="3"/>
  <c r="I77" i="3" a="1"/>
  <c r="I77" i="3" s="1"/>
  <c r="D86" i="3"/>
  <c r="C86" i="3"/>
  <c r="F92" i="3" a="1"/>
  <c r="F92" i="3" s="1"/>
  <c r="I97" i="3" a="1"/>
  <c r="I97" i="3" s="1"/>
  <c r="H97" i="3" a="1"/>
  <c r="H97" i="3" s="1"/>
  <c r="E97" i="3" a="1"/>
  <c r="E97" i="3" s="1"/>
  <c r="H99" i="3" a="1"/>
  <c r="H99" i="3" s="1"/>
  <c r="D111" i="3"/>
  <c r="C111" i="3"/>
  <c r="F118" i="3" a="1"/>
  <c r="F118" i="3" s="1"/>
  <c r="C120" i="3"/>
  <c r="F126" i="3" a="1"/>
  <c r="F126" i="3" s="1"/>
  <c r="I126" i="3" a="1"/>
  <c r="I126" i="3" s="1"/>
  <c r="H126" i="3" a="1"/>
  <c r="H126" i="3" s="1"/>
  <c r="G126" i="3" a="1"/>
  <c r="G126" i="3" s="1"/>
  <c r="F164" i="3" a="1"/>
  <c r="F164" i="3" s="1"/>
  <c r="E164" i="3" a="1"/>
  <c r="E164" i="3" s="1"/>
  <c r="G83" i="3" a="1"/>
  <c r="G83" i="3" s="1"/>
  <c r="G94" i="3" a="1"/>
  <c r="G94" i="3" s="1"/>
  <c r="F120" i="3" a="1"/>
  <c r="F120" i="3" s="1"/>
  <c r="I120" i="3" a="1"/>
  <c r="I120" i="3" s="1"/>
  <c r="H120" i="3" a="1"/>
  <c r="H120" i="3" s="1"/>
  <c r="G142" i="3" a="1"/>
  <c r="G142" i="3" s="1"/>
  <c r="J142" i="3" s="1"/>
  <c r="E142" i="3" a="1"/>
  <c r="E142" i="3" s="1"/>
  <c r="F142" i="3" a="1"/>
  <c r="F142" i="3" s="1"/>
  <c r="E181" i="3" a="1"/>
  <c r="E181" i="3" s="1"/>
  <c r="F181" i="3" a="1"/>
  <c r="F181" i="3" s="1"/>
  <c r="H90" i="3" a="1"/>
  <c r="H90" i="3" s="1"/>
  <c r="J90" i="3" s="1"/>
  <c r="H113" i="3" a="1"/>
  <c r="H113" i="3" s="1"/>
  <c r="G113" i="3" a="1"/>
  <c r="G113" i="3" s="1"/>
  <c r="J113" i="3" s="1"/>
  <c r="F113" i="3" a="1"/>
  <c r="F113" i="3" s="1"/>
  <c r="D116" i="3"/>
  <c r="C116" i="3"/>
  <c r="G136" i="3" a="1"/>
  <c r="G136" i="3" s="1"/>
  <c r="F136" i="3" a="1"/>
  <c r="F136" i="3" s="1"/>
  <c r="E136" i="3" a="1"/>
  <c r="E136" i="3" s="1"/>
  <c r="D139" i="3"/>
  <c r="C139" i="3"/>
  <c r="E146" i="3" a="1"/>
  <c r="E146" i="3" s="1"/>
  <c r="I146" i="3" a="1"/>
  <c r="I146" i="3" s="1"/>
  <c r="H146" i="3" a="1"/>
  <c r="H146" i="3" s="1"/>
  <c r="G146" i="3" a="1"/>
  <c r="G146" i="3" s="1"/>
  <c r="D107" i="3"/>
  <c r="C107" i="3"/>
  <c r="D122" i="3"/>
  <c r="G133" i="3" a="1"/>
  <c r="G133" i="3" s="1"/>
  <c r="F133" i="3" a="1"/>
  <c r="F133" i="3" s="1"/>
  <c r="I141" i="3" a="1"/>
  <c r="I141" i="3" s="1"/>
  <c r="G141" i="3" a="1"/>
  <c r="G141" i="3" s="1"/>
  <c r="J141" i="3" s="1"/>
  <c r="F141" i="3" a="1"/>
  <c r="F141" i="3" s="1"/>
  <c r="E141" i="3" a="1"/>
  <c r="E141" i="3" s="1"/>
  <c r="G148" i="3" a="1"/>
  <c r="G148" i="3" s="1"/>
  <c r="E148" i="3" a="1"/>
  <c r="E148" i="3" s="1"/>
  <c r="I148" i="3" a="1"/>
  <c r="I148" i="3" s="1"/>
  <c r="H148" i="3" a="1"/>
  <c r="H148" i="3" s="1"/>
  <c r="F198" i="3" a="1"/>
  <c r="F198" i="3" s="1"/>
  <c r="E198" i="3" a="1"/>
  <c r="E198" i="3" s="1"/>
  <c r="H46" i="3" a="1"/>
  <c r="H46" i="3" s="1"/>
  <c r="J46" i="3" s="1"/>
  <c r="H49" i="3" a="1"/>
  <c r="H49" i="3" s="1"/>
  <c r="J49" i="3" s="1"/>
  <c r="H52" i="3" a="1"/>
  <c r="H52" i="3" s="1"/>
  <c r="J52" i="3" s="1"/>
  <c r="H55" i="3" a="1"/>
  <c r="H55" i="3" s="1"/>
  <c r="J55" i="3" s="1"/>
  <c r="H58" i="3" a="1"/>
  <c r="H58" i="3" s="1"/>
  <c r="J58" i="3" s="1"/>
  <c r="H61" i="3" a="1"/>
  <c r="H61" i="3" s="1"/>
  <c r="J61" i="3" s="1"/>
  <c r="H64" i="3" a="1"/>
  <c r="H64" i="3" s="1"/>
  <c r="J64" i="3" s="1"/>
  <c r="H67" i="3" a="1"/>
  <c r="H67" i="3" s="1"/>
  <c r="H70" i="3" a="1"/>
  <c r="H70" i="3" s="1"/>
  <c r="H73" i="3" a="1"/>
  <c r="H73" i="3" s="1"/>
  <c r="J73" i="3" s="1"/>
  <c r="C82" i="3"/>
  <c r="C89" i="3"/>
  <c r="D90" i="3"/>
  <c r="C91" i="3"/>
  <c r="C104" i="3"/>
  <c r="D113" i="3"/>
  <c r="F116" i="3" a="1"/>
  <c r="F116" i="3" s="1"/>
  <c r="G120" i="3" a="1"/>
  <c r="G120" i="3" s="1"/>
  <c r="F124" i="3" a="1"/>
  <c r="F124" i="3" s="1"/>
  <c r="E124" i="3" a="1"/>
  <c r="E124" i="3" s="1"/>
  <c r="I138" i="3" a="1"/>
  <c r="I138" i="3" s="1"/>
  <c r="F138" i="3" a="1"/>
  <c r="F138" i="3" s="1"/>
  <c r="E138" i="3" a="1"/>
  <c r="E138" i="3" s="1"/>
  <c r="F153" i="3" a="1"/>
  <c r="F153" i="3" s="1"/>
  <c r="H153" i="3" a="1"/>
  <c r="H153" i="3" s="1"/>
  <c r="G153" i="3" a="1"/>
  <c r="G153" i="3" s="1"/>
  <c r="I153" i="3" a="1"/>
  <c r="I153" i="3" s="1"/>
  <c r="E153" i="3" a="1"/>
  <c r="E153" i="3" s="1"/>
  <c r="F184" i="3" a="1"/>
  <c r="F184" i="3" s="1"/>
  <c r="E184" i="3" a="1"/>
  <c r="E184" i="3" s="1"/>
  <c r="D188" i="3"/>
  <c r="C188" i="3"/>
  <c r="E188" i="3" a="1"/>
  <c r="E188" i="3" s="1"/>
  <c r="C92" i="3"/>
  <c r="H96" i="3" a="1"/>
  <c r="H96" i="3" s="1"/>
  <c r="F97" i="3" a="1"/>
  <c r="F97" i="3" s="1"/>
  <c r="H103" i="3" a="1"/>
  <c r="H103" i="3" s="1"/>
  <c r="G103" i="3" a="1"/>
  <c r="G103" i="3" s="1"/>
  <c r="F103" i="3" a="1"/>
  <c r="F103" i="3" s="1"/>
  <c r="F107" i="3" a="1"/>
  <c r="F107" i="3" s="1"/>
  <c r="E113" i="3" a="1"/>
  <c r="E113" i="3" s="1"/>
  <c r="F115" i="3" a="1"/>
  <c r="F115" i="3" s="1"/>
  <c r="E115" i="3" a="1"/>
  <c r="E115" i="3" s="1"/>
  <c r="H130" i="3" a="1"/>
  <c r="H130" i="3" s="1"/>
  <c r="G130" i="3" a="1"/>
  <c r="G130" i="3" s="1"/>
  <c r="D133" i="3"/>
  <c r="C133" i="3"/>
  <c r="I135" i="3" a="1"/>
  <c r="I135" i="3" s="1"/>
  <c r="F135" i="3" a="1"/>
  <c r="F135" i="3" s="1"/>
  <c r="G135" i="3" a="1"/>
  <c r="G135" i="3" s="1"/>
  <c r="E135" i="3" a="1"/>
  <c r="E135" i="3" s="1"/>
  <c r="E143" i="3" a="1"/>
  <c r="E143" i="3" s="1"/>
  <c r="I143" i="3" a="1"/>
  <c r="I143" i="3" s="1"/>
  <c r="H143" i="3" a="1"/>
  <c r="H143" i="3" s="1"/>
  <c r="G143" i="3" a="1"/>
  <c r="G143" i="3" s="1"/>
  <c r="F143" i="3" a="1"/>
  <c r="F143" i="3" s="1"/>
  <c r="D148" i="3"/>
  <c r="C148" i="3"/>
  <c r="F166" i="3" a="1"/>
  <c r="F166" i="3" s="1"/>
  <c r="E166" i="3" a="1"/>
  <c r="E166" i="3" s="1"/>
  <c r="F172" i="3" a="1"/>
  <c r="F172" i="3" s="1"/>
  <c r="E172" i="3" a="1"/>
  <c r="E172" i="3" s="1"/>
  <c r="C83" i="3"/>
  <c r="E90" i="3" a="1"/>
  <c r="E90" i="3" s="1"/>
  <c r="D93" i="3"/>
  <c r="F106" i="3" a="1"/>
  <c r="F106" i="3" s="1"/>
  <c r="E106" i="3" a="1"/>
  <c r="E106" i="3" s="1"/>
  <c r="G116" i="3" a="1"/>
  <c r="G116" i="3" s="1"/>
  <c r="D124" i="3"/>
  <c r="C124" i="3"/>
  <c r="E133" i="3" a="1"/>
  <c r="E133" i="3" s="1"/>
  <c r="H136" i="3" a="1"/>
  <c r="H136" i="3" s="1"/>
  <c r="D176" i="3"/>
  <c r="C176" i="3"/>
  <c r="E182" i="3" a="1"/>
  <c r="E182" i="3" s="1"/>
  <c r="F196" i="3" a="1"/>
  <c r="F196" i="3" s="1"/>
  <c r="E196" i="3" a="1"/>
  <c r="E196" i="3" s="1"/>
  <c r="E137" i="3" a="1"/>
  <c r="E137" i="3" s="1"/>
  <c r="H137" i="3" a="1"/>
  <c r="H137" i="3" s="1"/>
  <c r="J137" i="3" s="1"/>
  <c r="D145" i="3"/>
  <c r="C145" i="3"/>
  <c r="H157" i="3" a="1"/>
  <c r="H157" i="3" s="1"/>
  <c r="F157" i="3" a="1"/>
  <c r="F157" i="3" s="1"/>
  <c r="G157" i="3" a="1"/>
  <c r="G157" i="3" s="1"/>
  <c r="H161" i="3" a="1"/>
  <c r="H161" i="3" s="1"/>
  <c r="F161" i="3" a="1"/>
  <c r="F161" i="3" s="1"/>
  <c r="G161" i="3" a="1"/>
  <c r="G161" i="3" s="1"/>
  <c r="J161" i="3" s="1"/>
  <c r="D170" i="3"/>
  <c r="C170" i="3"/>
  <c r="F176" i="3" a="1"/>
  <c r="F176" i="3" s="1"/>
  <c r="F178" i="3" a="1"/>
  <c r="F178" i="3" s="1"/>
  <c r="E178" i="3" a="1"/>
  <c r="E178" i="3" s="1"/>
  <c r="H107" i="3" a="1"/>
  <c r="H107" i="3" s="1"/>
  <c r="H116" i="3" a="1"/>
  <c r="H116" i="3" s="1"/>
  <c r="H125" i="3" a="1"/>
  <c r="H125" i="3" s="1"/>
  <c r="D136" i="3"/>
  <c r="C136" i="3"/>
  <c r="D142" i="3"/>
  <c r="C142" i="3"/>
  <c r="D153" i="3"/>
  <c r="C153" i="3"/>
  <c r="E165" i="3" a="1"/>
  <c r="E165" i="3" s="1"/>
  <c r="F165" i="3" a="1"/>
  <c r="F165" i="3" s="1"/>
  <c r="E176" i="3" a="1"/>
  <c r="E176" i="3" s="1"/>
  <c r="D182" i="3"/>
  <c r="C182" i="3"/>
  <c r="F188" i="3" a="1"/>
  <c r="F188" i="3" s="1"/>
  <c r="F190" i="3" a="1"/>
  <c r="F190" i="3" s="1"/>
  <c r="E190" i="3" a="1"/>
  <c r="E190" i="3" s="1"/>
  <c r="E157" i="3" a="1"/>
  <c r="E157" i="3" s="1"/>
  <c r="E161" i="3" a="1"/>
  <c r="E161" i="3" s="1"/>
  <c r="E163" i="3" a="1"/>
  <c r="E163" i="3" s="1"/>
  <c r="F163" i="3" a="1"/>
  <c r="F163" i="3" s="1"/>
  <c r="E177" i="3" a="1"/>
  <c r="E177" i="3" s="1"/>
  <c r="F177" i="3" a="1"/>
  <c r="F177" i="3" s="1"/>
  <c r="I110" i="3" a="1"/>
  <c r="I110" i="3" s="1"/>
  <c r="I119" i="3" a="1"/>
  <c r="I119" i="3" s="1"/>
  <c r="I128" i="3" a="1"/>
  <c r="I128" i="3" s="1"/>
  <c r="J128" i="3" s="1"/>
  <c r="E183" i="3" a="1"/>
  <c r="E183" i="3" s="1"/>
  <c r="F183" i="3" a="1"/>
  <c r="F183" i="3" s="1"/>
  <c r="D194" i="3"/>
  <c r="E194" i="3" a="1"/>
  <c r="E194" i="3" s="1"/>
  <c r="F137" i="3" a="1"/>
  <c r="F137" i="3" s="1"/>
  <c r="I150" i="3" a="1"/>
  <c r="I150" i="3" s="1"/>
  <c r="G150" i="3" a="1"/>
  <c r="G150" i="3" s="1"/>
  <c r="J150" i="3" s="1"/>
  <c r="F150" i="3" a="1"/>
  <c r="F150" i="3" s="1"/>
  <c r="H155" i="3" a="1"/>
  <c r="H155" i="3" s="1"/>
  <c r="F155" i="3" a="1"/>
  <c r="F155" i="3" s="1"/>
  <c r="G155" i="3" a="1"/>
  <c r="G155" i="3" s="1"/>
  <c r="F159" i="3" a="1"/>
  <c r="F159" i="3" s="1"/>
  <c r="H159" i="3" a="1"/>
  <c r="H159" i="3" s="1"/>
  <c r="G159" i="3" a="1"/>
  <c r="G159" i="3" s="1"/>
  <c r="E169" i="3" a="1"/>
  <c r="E169" i="3" s="1"/>
  <c r="F169" i="3" a="1"/>
  <c r="F169" i="3" s="1"/>
  <c r="E189" i="3" a="1"/>
  <c r="E189" i="3" s="1"/>
  <c r="F189" i="3" a="1"/>
  <c r="F189" i="3" s="1"/>
  <c r="C194" i="3"/>
  <c r="E107" i="3" a="1"/>
  <c r="E107" i="3" s="1"/>
  <c r="D109" i="3"/>
  <c r="C109" i="3"/>
  <c r="E116" i="3" a="1"/>
  <c r="E116" i="3" s="1"/>
  <c r="D118" i="3"/>
  <c r="C118" i="3"/>
  <c r="E125" i="3" a="1"/>
  <c r="E125" i="3" s="1"/>
  <c r="D127" i="3"/>
  <c r="C127" i="3"/>
  <c r="E149" i="3" a="1"/>
  <c r="E149" i="3" s="1"/>
  <c r="I149" i="3" a="1"/>
  <c r="I149" i="3" s="1"/>
  <c r="H149" i="3" a="1"/>
  <c r="H149" i="3" s="1"/>
  <c r="J149" i="3" s="1"/>
  <c r="D151" i="3"/>
  <c r="C151" i="3"/>
  <c r="I157" i="3" a="1"/>
  <c r="I157" i="3" s="1"/>
  <c r="I161" i="3" a="1"/>
  <c r="I161" i="3" s="1"/>
  <c r="E175" i="3" a="1"/>
  <c r="E175" i="3" s="1"/>
  <c r="F175" i="3" a="1"/>
  <c r="F175" i="3" s="1"/>
  <c r="F193" i="3" a="1"/>
  <c r="F193" i="3" s="1"/>
  <c r="E193" i="3" a="1"/>
  <c r="E193" i="3" s="1"/>
  <c r="F192" i="3" a="1"/>
  <c r="F192" i="3" s="1"/>
  <c r="E192" i="3" a="1"/>
  <c r="E192" i="3" s="1"/>
  <c r="F201" i="3" a="1"/>
  <c r="F201" i="3" s="1"/>
  <c r="E201" i="3" a="1"/>
  <c r="E201" i="3" s="1"/>
  <c r="F194" i="3" a="1"/>
  <c r="F194" i="3" s="1"/>
  <c r="F199" i="3" a="1"/>
  <c r="F199" i="3" s="1"/>
  <c r="E199" i="3" a="1"/>
  <c r="E199" i="3" s="1"/>
  <c r="C201" i="3"/>
  <c r="C200" i="3"/>
  <c r="C199" i="3"/>
  <c r="J135" i="3" l="1"/>
  <c r="J103" i="3"/>
  <c r="J4" i="3"/>
  <c r="J50" i="3"/>
  <c r="J122" i="3"/>
  <c r="J93" i="3"/>
  <c r="J22" i="3"/>
  <c r="J70" i="3"/>
  <c r="J156" i="3"/>
  <c r="J54" i="3"/>
  <c r="J89" i="3"/>
  <c r="J2" i="3"/>
  <c r="J158" i="3"/>
  <c r="J40" i="3"/>
  <c r="J8" i="3"/>
  <c r="J91" i="3"/>
  <c r="J34" i="3"/>
  <c r="J100" i="3"/>
  <c r="J87" i="3"/>
  <c r="J121" i="3"/>
  <c r="J112" i="3"/>
  <c r="J98" i="3"/>
  <c r="J105" i="3"/>
  <c r="J32" i="3"/>
  <c r="J25" i="3"/>
  <c r="J159" i="3"/>
  <c r="J157" i="3"/>
  <c r="J133" i="3"/>
  <c r="J56" i="3"/>
  <c r="J65" i="3"/>
  <c r="J20" i="3"/>
  <c r="J43" i="3"/>
  <c r="J152" i="3"/>
  <c r="J28" i="3"/>
  <c r="J31" i="3"/>
  <c r="J35" i="3"/>
  <c r="J79" i="3"/>
  <c r="J106" i="3"/>
  <c r="J119" i="3"/>
  <c r="J94" i="3"/>
  <c r="J129" i="3"/>
  <c r="J17" i="3"/>
  <c r="J124" i="3"/>
  <c r="J88" i="3"/>
  <c r="J110" i="3"/>
  <c r="J67" i="3"/>
  <c r="J146" i="3"/>
  <c r="J83" i="3"/>
  <c r="J18" i="3"/>
  <c r="J117" i="3"/>
  <c r="J36" i="3"/>
  <c r="J97" i="3"/>
  <c r="K11" i="4"/>
  <c r="K5" i="4"/>
  <c r="K17" i="4"/>
  <c r="K12" i="4"/>
  <c r="K6" i="4"/>
  <c r="K7" i="4"/>
  <c r="K8" i="4"/>
  <c r="K10" i="4"/>
  <c r="K4" i="4"/>
  <c r="J147" i="3"/>
  <c r="J62" i="3"/>
  <c r="J47" i="3"/>
  <c r="J24" i="3"/>
  <c r="J74" i="3"/>
  <c r="J160" i="3"/>
  <c r="J96" i="3"/>
  <c r="J69" i="3"/>
  <c r="J14" i="3"/>
  <c r="J81" i="3"/>
  <c r="J99" i="3"/>
  <c r="J27" i="3"/>
  <c r="J21" i="3"/>
  <c r="J68" i="3"/>
  <c r="J136" i="3"/>
  <c r="J108" i="3"/>
  <c r="J155" i="3"/>
  <c r="J130" i="3"/>
  <c r="J125" i="3"/>
  <c r="J114" i="3"/>
  <c r="J10" i="3"/>
  <c r="J53" i="3"/>
  <c r="J13" i="3"/>
  <c r="J44" i="3"/>
  <c r="I10" i="4"/>
  <c r="I4" i="4"/>
  <c r="I11" i="4"/>
  <c r="I5" i="4"/>
  <c r="I12" i="4"/>
  <c r="I6" i="4"/>
  <c r="M15" i="4"/>
  <c r="L15" i="4"/>
  <c r="I7" i="4"/>
  <c r="K15" i="4"/>
  <c r="J15" i="4"/>
  <c r="I8" i="4"/>
  <c r="J116" i="3"/>
  <c r="J76" i="3"/>
  <c r="J143" i="3"/>
  <c r="J41" i="3"/>
  <c r="J33" i="3"/>
  <c r="J11" i="3"/>
  <c r="J29" i="3"/>
  <c r="J77" i="3"/>
  <c r="J59" i="3"/>
  <c r="J85" i="3"/>
  <c r="J145" i="3"/>
  <c r="J6" i="3"/>
  <c r="J154" i="3"/>
  <c r="J131" i="3"/>
  <c r="J120" i="3"/>
  <c r="J148" i="3"/>
  <c r="J111" i="3"/>
  <c r="J123" i="3"/>
  <c r="J101" i="3"/>
  <c r="J144" i="3"/>
  <c r="J45" i="3"/>
  <c r="J115" i="3"/>
  <c r="J71" i="3"/>
  <c r="J9" i="3"/>
  <c r="J15" i="3"/>
  <c r="J153" i="3"/>
  <c r="M17" i="4"/>
  <c r="M12" i="4"/>
  <c r="M6" i="4"/>
  <c r="M7" i="4"/>
  <c r="M8" i="4"/>
  <c r="M10" i="4"/>
  <c r="M4" i="4"/>
  <c r="M11" i="4"/>
  <c r="M5" i="4"/>
  <c r="J39" i="3"/>
  <c r="J16" i="3"/>
  <c r="J78" i="3"/>
  <c r="J104" i="3"/>
  <c r="J10" i="4"/>
  <c r="J4" i="4"/>
  <c r="J11" i="4"/>
  <c r="J5" i="4"/>
  <c r="J17" i="4"/>
  <c r="J12" i="4"/>
  <c r="J6" i="4"/>
  <c r="J7" i="4"/>
  <c r="J8" i="4"/>
  <c r="J48" i="3"/>
  <c r="J139" i="3"/>
  <c r="J75" i="3"/>
  <c r="J12" i="3"/>
  <c r="J86" i="3"/>
  <c r="J51" i="3"/>
  <c r="J126" i="3"/>
  <c r="J134" i="3"/>
  <c r="J102" i="3"/>
  <c r="J151" i="3"/>
  <c r="J140" i="3"/>
  <c r="J42" i="3"/>
  <c r="J7" i="3"/>
  <c r="J26" i="3"/>
  <c r="J80" i="3"/>
  <c r="J66" i="3"/>
  <c r="J72" i="3"/>
  <c r="L11" i="4"/>
  <c r="L5" i="4"/>
  <c r="L17" i="4"/>
  <c r="L12" i="4"/>
  <c r="L6" i="4"/>
  <c r="L7" i="4"/>
  <c r="L8" i="4"/>
  <c r="L10" i="4"/>
  <c r="L4" i="4"/>
  <c r="L16" i="4" l="1"/>
  <c r="M9" i="4"/>
  <c r="L9" i="4"/>
  <c r="J16" i="4"/>
  <c r="K9" i="4"/>
  <c r="J9" i="4"/>
  <c r="M16" i="4"/>
  <c r="I9" i="4"/>
  <c r="K16" i="4"/>
</calcChain>
</file>

<file path=xl/sharedStrings.xml><?xml version="1.0" encoding="utf-8"?>
<sst xmlns="http://schemas.openxmlformats.org/spreadsheetml/2006/main" count="171" uniqueCount="32">
  <si>
    <t>Participant</t>
  </si>
  <si>
    <t>Base</t>
  </si>
  <si>
    <t>VS-VS</t>
  </si>
  <si>
    <t>VS-VV</t>
  </si>
  <si>
    <t>VS-AV</t>
  </si>
  <si>
    <t>VS-AS</t>
  </si>
  <si>
    <t>Collected Data Summary Table</t>
  </si>
  <si>
    <t>Mean</t>
  </si>
  <si>
    <t>Std. Dev.</t>
  </si>
  <si>
    <t>25th Pct</t>
  </si>
  <si>
    <t>Median</t>
  </si>
  <si>
    <t>75th Pct</t>
  </si>
  <si>
    <t>IQR</t>
  </si>
  <si>
    <t>Minimum</t>
  </si>
  <si>
    <t>Maximum</t>
  </si>
  <si>
    <t>Variance</t>
  </si>
  <si>
    <t>Tracking Score (Error in Px)</t>
  </si>
  <si>
    <t>Threat Response Score (Hits/Total)</t>
  </si>
  <si>
    <t>Frustration TLX</t>
  </si>
  <si>
    <t>Performance TLX</t>
  </si>
  <si>
    <t>Mental Demand TLX</t>
  </si>
  <si>
    <t>Standard Deviation</t>
  </si>
  <si>
    <t>Condition</t>
  </si>
  <si>
    <t>Modality</t>
  </si>
  <si>
    <t>Code</t>
  </si>
  <si>
    <t>Tracking Score</t>
  </si>
  <si>
    <t>Accuracy</t>
  </si>
  <si>
    <t>Combined TLX</t>
  </si>
  <si>
    <t>Std Dev</t>
  </si>
  <si>
    <t>Simulated Data Descriptive Statistics Summary Table</t>
  </si>
  <si>
    <t>Base Score</t>
  </si>
  <si>
    <t>Degradation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</si>
</sst>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0.0"/>
  </numFmts>
  <fonts count="11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4"/>
      <color theme="1"/>
      <name val="Arial"/>
      <family val="2"/>
      <scheme val="minor"/>
    </font>
    <font>
      <sz val="11"/>
      <color rgb="FF000000"/>
      <name val="&quot;Aptos Narrow&quot;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1"/>
      <color rgb="FF4EC9B0"/>
      <name val="Consolas"/>
      <family val="3"/>
    </font>
    <font>
      <sz val="11"/>
      <color rgb="FF000000"/>
      <name val="Arial"/>
      <family val="2"/>
    </font>
    <font>
      <sz val="11"/>
      <color rgb="FF8B949E"/>
      <name val="Consolas"/>
      <family val="3"/>
    </font>
    <font>
      <sz val="11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165" fontId="4" fillId="0" borderId="14" xfId="0" applyNumberFormat="1" applyFont="1" applyBorder="1" applyAlignment="1">
      <alignment horizontal="center"/>
    </xf>
    <xf numFmtId="165" fontId="4" fillId="0" borderId="15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5" fillId="0" borderId="17" xfId="0" applyFont="1" applyBorder="1" applyAlignment="1">
      <alignment horizontal="center"/>
    </xf>
    <xf numFmtId="0" fontId="6" fillId="0" borderId="18" xfId="0" applyFont="1" applyBorder="1"/>
    <xf numFmtId="0" fontId="6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Average Score and Degradation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'Simulated Data'!$H$15</c:f>
              <c:strCache>
                <c:ptCount val="1"/>
                <c:pt idx="0">
                  <c:v>Base Score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103-4D5D-8571-206EC0C65950}"/>
              </c:ext>
            </c:extLst>
          </c:dPt>
          <c:cat>
            <c:strRef>
              <c:f>'Simulated Data'!$I$14:$M$14</c:f>
              <c:strCache>
                <c:ptCount val="5"/>
                <c:pt idx="1">
                  <c:v>VS-VS</c:v>
                </c:pt>
                <c:pt idx="2">
                  <c:v>VS-VV</c:v>
                </c:pt>
                <c:pt idx="3">
                  <c:v>VS-AV</c:v>
                </c:pt>
                <c:pt idx="4">
                  <c:v>VS-AS</c:v>
                </c:pt>
              </c:strCache>
            </c:strRef>
          </c:cat>
          <c:val>
            <c:numRef>
              <c:f>'Simulated Data'!$I$15:$M$15</c:f>
              <c:numCache>
                <c:formatCode>0.00</c:formatCode>
                <c:ptCount val="5"/>
                <c:pt idx="1">
                  <c:v>17.020699141712072</c:v>
                </c:pt>
                <c:pt idx="2">
                  <c:v>17.020699141712072</c:v>
                </c:pt>
                <c:pt idx="3">
                  <c:v>17.020699141712072</c:v>
                </c:pt>
                <c:pt idx="4">
                  <c:v>17.020699141712072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103-4D5D-8571-206EC0C65950}"/>
            </c:ext>
          </c:extLst>
        </c:ser>
        <c:ser>
          <c:idx val="1"/>
          <c:order val="1"/>
          <c:tx>
            <c:strRef>
              <c:f>'Simulated Data'!$H$16</c:f>
              <c:strCache>
                <c:ptCount val="1"/>
                <c:pt idx="0">
                  <c:v>Degradation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980000">
                  <a:alpha val="100000"/>
                </a:srgbClr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A103-4D5D-8571-206EC0C65950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A103-4D5D-8571-206EC0C659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'Simulated Data'!$I$14:$M$14</c:f>
              <c:strCache>
                <c:ptCount val="5"/>
                <c:pt idx="1">
                  <c:v>VS-VS</c:v>
                </c:pt>
                <c:pt idx="2">
                  <c:v>VS-VV</c:v>
                </c:pt>
                <c:pt idx="3">
                  <c:v>VS-AV</c:v>
                </c:pt>
                <c:pt idx="4">
                  <c:v>VS-AS</c:v>
                </c:pt>
              </c:strCache>
            </c:strRef>
          </c:cat>
          <c:val>
            <c:numRef>
              <c:f>'Simulated Data'!$I$16:$M$16</c:f>
              <c:numCache>
                <c:formatCode>0.00</c:formatCode>
                <c:ptCount val="5"/>
                <c:pt idx="1">
                  <c:v>76.186051058271687</c:v>
                </c:pt>
                <c:pt idx="2">
                  <c:v>80.662344500074113</c:v>
                </c:pt>
                <c:pt idx="3">
                  <c:v>71.625320282484125</c:v>
                </c:pt>
                <c:pt idx="4">
                  <c:v>75.104129209621448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98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103-4D5D-8571-206EC0C65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3177082"/>
        <c:axId val="731355120"/>
      </c:barChart>
      <c:catAx>
        <c:axId val="1793177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1355120"/>
        <c:crosses val="autoZero"/>
        <c:auto val="1"/>
        <c:lblAlgn val="ctr"/>
        <c:lblOffset val="100"/>
        <c:noMultiLvlLbl val="1"/>
      </c:catAx>
      <c:valAx>
        <c:axId val="731355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31770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12</xdr:row>
      <xdr:rowOff>142875</xdr:rowOff>
    </xdr:from>
    <xdr:ext cx="7620000" cy="47053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2"/>
  <sheetViews>
    <sheetView workbookViewId="0"/>
  </sheetViews>
  <sheetFormatPr defaultColWidth="12.6640625" defaultRowHeight="15.75" customHeight="1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1" t="s">
        <v>6</v>
      </c>
      <c r="I1" s="52"/>
      <c r="J1" s="52"/>
      <c r="K1" s="52"/>
      <c r="L1" s="52"/>
      <c r="M1" s="52"/>
    </row>
    <row r="2" spans="1:13">
      <c r="A2" s="2">
        <v>1</v>
      </c>
      <c r="B2" s="3">
        <v>10</v>
      </c>
      <c r="C2" s="3">
        <v>69</v>
      </c>
      <c r="D2" s="4">
        <v>56</v>
      </c>
      <c r="E2" s="4">
        <v>57</v>
      </c>
      <c r="F2" s="5">
        <v>56</v>
      </c>
      <c r="H2" s="52"/>
      <c r="I2" s="52"/>
      <c r="J2" s="52"/>
      <c r="K2" s="52"/>
      <c r="L2" s="52"/>
      <c r="M2" s="52"/>
    </row>
    <row r="3" spans="1:13">
      <c r="A3" s="2">
        <v>2</v>
      </c>
      <c r="B3" s="3">
        <v>20</v>
      </c>
      <c r="C3" s="3">
        <v>79</v>
      </c>
      <c r="D3" s="4">
        <v>76</v>
      </c>
      <c r="E3" s="4">
        <v>63</v>
      </c>
      <c r="F3" s="5">
        <v>54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</row>
    <row r="4" spans="1:13">
      <c r="A4" s="2">
        <v>3</v>
      </c>
      <c r="B4" s="3">
        <v>10</v>
      </c>
      <c r="C4" s="3">
        <v>87</v>
      </c>
      <c r="D4" s="4">
        <v>98</v>
      </c>
      <c r="E4" s="4">
        <v>73</v>
      </c>
      <c r="F4" s="5">
        <v>76</v>
      </c>
      <c r="H4" s="6" t="s">
        <v>7</v>
      </c>
      <c r="I4" s="7">
        <f t="shared" ref="I4:M4" si="0">AVERAGE(B2:B101)</f>
        <v>17.399999999999999</v>
      </c>
      <c r="J4" s="7">
        <f t="shared" si="0"/>
        <v>95.2</v>
      </c>
      <c r="K4" s="7">
        <f t="shared" si="0"/>
        <v>99.5</v>
      </c>
      <c r="L4" s="7">
        <f t="shared" si="0"/>
        <v>88.9</v>
      </c>
      <c r="M4" s="7">
        <f t="shared" si="0"/>
        <v>90.9</v>
      </c>
    </row>
    <row r="5" spans="1:13">
      <c r="A5" s="2">
        <v>4</v>
      </c>
      <c r="B5" s="3">
        <v>10</v>
      </c>
      <c r="C5" s="3">
        <v>103</v>
      </c>
      <c r="D5" s="4">
        <v>98</v>
      </c>
      <c r="E5" s="4">
        <v>80</v>
      </c>
      <c r="F5" s="5">
        <v>114</v>
      </c>
      <c r="H5" s="6" t="s">
        <v>8</v>
      </c>
      <c r="I5" s="7">
        <f t="shared" ref="I5:M5" si="1">STDEV(B2:B101)</f>
        <v>8.4353752468728711</v>
      </c>
      <c r="J5" s="7">
        <f t="shared" si="1"/>
        <v>32.563783563953386</v>
      </c>
      <c r="K5" s="7">
        <f t="shared" si="1"/>
        <v>53.310932795774221</v>
      </c>
      <c r="L5" s="7">
        <f t="shared" si="1"/>
        <v>47.526483844974962</v>
      </c>
      <c r="M5" s="7">
        <f t="shared" si="1"/>
        <v>41.964138128750939</v>
      </c>
    </row>
    <row r="6" spans="1:13">
      <c r="A6" s="2">
        <v>5</v>
      </c>
      <c r="B6" s="3">
        <v>30</v>
      </c>
      <c r="C6" s="3">
        <v>170</v>
      </c>
      <c r="D6" s="4">
        <v>241</v>
      </c>
      <c r="E6" s="4">
        <v>174</v>
      </c>
      <c r="F6" s="5">
        <v>172</v>
      </c>
      <c r="H6" s="6" t="s">
        <v>9</v>
      </c>
      <c r="I6" s="7">
        <f t="shared" ref="I6:M6" si="2">PERCENTILE(B2:B101,0.25)</f>
        <v>10</v>
      </c>
      <c r="J6" s="7">
        <f t="shared" si="2"/>
        <v>72.25</v>
      </c>
      <c r="K6" s="7">
        <f t="shared" si="2"/>
        <v>72.25</v>
      </c>
      <c r="L6" s="7">
        <f t="shared" si="2"/>
        <v>58.5</v>
      </c>
      <c r="M6" s="7">
        <f t="shared" si="2"/>
        <v>56.75</v>
      </c>
    </row>
    <row r="7" spans="1:13">
      <c r="A7" s="2">
        <v>6</v>
      </c>
      <c r="B7" s="3">
        <v>20</v>
      </c>
      <c r="C7" s="3">
        <v>63</v>
      </c>
      <c r="D7" s="4">
        <v>61</v>
      </c>
      <c r="E7" s="4">
        <v>45</v>
      </c>
      <c r="F7" s="5">
        <v>53</v>
      </c>
      <c r="H7" s="6" t="s">
        <v>10</v>
      </c>
      <c r="I7" s="7">
        <f t="shared" ref="I7:M7" si="3">MEDIAN(B2:B101)</f>
        <v>16</v>
      </c>
      <c r="J7" s="7">
        <f t="shared" si="3"/>
        <v>83</v>
      </c>
      <c r="K7" s="7">
        <f t="shared" si="3"/>
        <v>87.5</v>
      </c>
      <c r="L7" s="7">
        <f t="shared" si="3"/>
        <v>72.5</v>
      </c>
      <c r="M7" s="7">
        <f t="shared" si="3"/>
        <v>71.5</v>
      </c>
    </row>
    <row r="8" spans="1:13">
      <c r="A8" s="2">
        <v>7</v>
      </c>
      <c r="B8" s="3">
        <v>10</v>
      </c>
      <c r="C8" s="3">
        <v>122</v>
      </c>
      <c r="D8" s="4">
        <v>119</v>
      </c>
      <c r="E8" s="4">
        <v>177</v>
      </c>
      <c r="F8" s="5">
        <v>131</v>
      </c>
      <c r="H8" s="6" t="s">
        <v>11</v>
      </c>
      <c r="I8" s="7">
        <f t="shared" ref="I8:M8" si="4">PERCENTILE(B2:B101,0.75)</f>
        <v>20</v>
      </c>
      <c r="J8" s="7">
        <f t="shared" si="4"/>
        <v>108.25</v>
      </c>
      <c r="K8" s="7">
        <f t="shared" si="4"/>
        <v>98</v>
      </c>
      <c r="L8" s="7">
        <f t="shared" si="4"/>
        <v>89</v>
      </c>
      <c r="M8" s="7">
        <f t="shared" si="4"/>
        <v>123.75</v>
      </c>
    </row>
    <row r="9" spans="1:13">
      <c r="A9" s="2">
        <v>8</v>
      </c>
      <c r="B9" s="8">
        <v>20</v>
      </c>
      <c r="C9" s="8">
        <v>70</v>
      </c>
      <c r="D9" s="4">
        <v>79</v>
      </c>
      <c r="E9" s="4">
        <v>56</v>
      </c>
      <c r="F9" s="5">
        <v>59</v>
      </c>
      <c r="H9" s="6" t="s">
        <v>12</v>
      </c>
      <c r="I9" s="7">
        <f t="shared" ref="I9:M9" si="5">I8-I6</f>
        <v>10</v>
      </c>
      <c r="J9" s="7">
        <f t="shared" si="5"/>
        <v>36</v>
      </c>
      <c r="K9" s="7">
        <f t="shared" si="5"/>
        <v>25.75</v>
      </c>
      <c r="L9" s="7">
        <f t="shared" si="5"/>
        <v>30.5</v>
      </c>
      <c r="M9" s="7">
        <f t="shared" si="5"/>
        <v>67</v>
      </c>
    </row>
    <row r="10" spans="1:13">
      <c r="A10" s="2">
        <v>9</v>
      </c>
      <c r="B10" s="3">
        <v>12</v>
      </c>
      <c r="C10" s="3">
        <v>79</v>
      </c>
      <c r="D10" s="4">
        <v>71</v>
      </c>
      <c r="E10" s="4">
        <v>72</v>
      </c>
      <c r="F10" s="5">
        <v>67</v>
      </c>
      <c r="H10" s="6" t="s">
        <v>13</v>
      </c>
      <c r="I10" s="7">
        <f t="shared" ref="I10:M10" si="6">MIN(B2:B101)</f>
        <v>10</v>
      </c>
      <c r="J10" s="7">
        <f t="shared" si="6"/>
        <v>63</v>
      </c>
      <c r="K10" s="7">
        <f t="shared" si="6"/>
        <v>56</v>
      </c>
      <c r="L10" s="7">
        <f t="shared" si="6"/>
        <v>45</v>
      </c>
      <c r="M10" s="7">
        <f t="shared" si="6"/>
        <v>53</v>
      </c>
    </row>
    <row r="11" spans="1:13">
      <c r="A11" s="2">
        <v>10</v>
      </c>
      <c r="B11" s="3">
        <v>32</v>
      </c>
      <c r="C11" s="3">
        <v>110</v>
      </c>
      <c r="D11" s="4">
        <v>96</v>
      </c>
      <c r="E11" s="4">
        <v>92</v>
      </c>
      <c r="F11" s="5">
        <v>127</v>
      </c>
      <c r="H11" s="6" t="s">
        <v>14</v>
      </c>
      <c r="I11" s="7">
        <f t="shared" ref="I11:M11" si="7">MAX(B2:B101)</f>
        <v>32</v>
      </c>
      <c r="J11" s="7">
        <f t="shared" si="7"/>
        <v>170</v>
      </c>
      <c r="K11" s="7">
        <f t="shared" si="7"/>
        <v>241</v>
      </c>
      <c r="L11" s="7">
        <f t="shared" si="7"/>
        <v>177</v>
      </c>
      <c r="M11" s="7">
        <f t="shared" si="7"/>
        <v>172</v>
      </c>
    </row>
    <row r="12" spans="1:13">
      <c r="H12" s="6" t="s">
        <v>15</v>
      </c>
      <c r="I12" s="7">
        <f t="shared" ref="I12:M12" si="8">VAR(B2:B101)</f>
        <v>71.155555555555566</v>
      </c>
      <c r="J12" s="7">
        <f t="shared" si="8"/>
        <v>1060.4000000000005</v>
      </c>
      <c r="K12" s="7">
        <f t="shared" si="8"/>
        <v>2842.0555555555557</v>
      </c>
      <c r="L12" s="7">
        <f t="shared" si="8"/>
        <v>2258.766666666666</v>
      </c>
      <c r="M12" s="7">
        <f t="shared" si="8"/>
        <v>1760.9888888888881</v>
      </c>
    </row>
  </sheetData>
  <mergeCells count="1">
    <mergeCell ref="H1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95"/>
  <sheetViews>
    <sheetView topLeftCell="A57" zoomScale="70" zoomScaleNormal="70" workbookViewId="0">
      <selection activeCell="A54" sqref="A54:U95"/>
    </sheetView>
  </sheetViews>
  <sheetFormatPr defaultColWidth="12.6640625" defaultRowHeight="15.75" customHeight="1"/>
  <cols>
    <col min="23" max="23" width="16.33203125" customWidth="1"/>
  </cols>
  <sheetData>
    <row r="1" spans="1:44" ht="13.2">
      <c r="B1" s="48" t="s">
        <v>16</v>
      </c>
      <c r="C1" s="49"/>
      <c r="D1" s="49"/>
      <c r="E1" s="50"/>
      <c r="F1" s="48" t="s">
        <v>17</v>
      </c>
      <c r="G1" s="49"/>
      <c r="H1" s="49"/>
      <c r="I1" s="50"/>
      <c r="J1" s="48" t="s">
        <v>18</v>
      </c>
      <c r="K1" s="49"/>
      <c r="L1" s="49"/>
      <c r="M1" s="50"/>
      <c r="N1" s="48" t="s">
        <v>19</v>
      </c>
      <c r="O1" s="49"/>
      <c r="P1" s="49"/>
      <c r="Q1" s="50"/>
      <c r="R1" s="48" t="s">
        <v>20</v>
      </c>
      <c r="S1" s="49"/>
      <c r="T1" s="49"/>
      <c r="U1" s="50"/>
      <c r="X1" s="48" t="s">
        <v>16</v>
      </c>
      <c r="Y1" s="49"/>
      <c r="Z1" s="49"/>
      <c r="AA1" s="50"/>
      <c r="AB1" s="48" t="s">
        <v>17</v>
      </c>
      <c r="AC1" s="49"/>
      <c r="AD1" s="49"/>
      <c r="AE1" s="50"/>
      <c r="AF1" s="48" t="s">
        <v>18</v>
      </c>
      <c r="AG1" s="49"/>
      <c r="AH1" s="49"/>
      <c r="AI1" s="50"/>
      <c r="AJ1" s="48" t="s">
        <v>19</v>
      </c>
      <c r="AK1" s="49"/>
      <c r="AL1" s="49"/>
      <c r="AM1" s="50"/>
      <c r="AN1" s="48" t="s">
        <v>20</v>
      </c>
      <c r="AO1" s="49"/>
      <c r="AP1" s="49"/>
      <c r="AQ1" s="50"/>
      <c r="AR1" s="6"/>
    </row>
    <row r="2" spans="1:44" ht="13.8">
      <c r="A2" s="1" t="s">
        <v>0</v>
      </c>
      <c r="B2" s="9" t="s">
        <v>2</v>
      </c>
      <c r="C2" s="10" t="s">
        <v>3</v>
      </c>
      <c r="D2" s="10" t="s">
        <v>4</v>
      </c>
      <c r="E2" s="11" t="s">
        <v>5</v>
      </c>
      <c r="F2" s="9" t="s">
        <v>2</v>
      </c>
      <c r="G2" s="10" t="s">
        <v>3</v>
      </c>
      <c r="H2" s="10" t="s">
        <v>4</v>
      </c>
      <c r="I2" s="11" t="s">
        <v>5</v>
      </c>
      <c r="J2" s="9" t="s">
        <v>2</v>
      </c>
      <c r="K2" s="10" t="s">
        <v>3</v>
      </c>
      <c r="L2" s="10" t="s">
        <v>4</v>
      </c>
      <c r="M2" s="11" t="s">
        <v>5</v>
      </c>
      <c r="N2" s="9" t="s">
        <v>2</v>
      </c>
      <c r="O2" s="10" t="s">
        <v>3</v>
      </c>
      <c r="P2" s="10" t="s">
        <v>4</v>
      </c>
      <c r="Q2" s="11" t="s">
        <v>5</v>
      </c>
      <c r="R2" s="9" t="s">
        <v>2</v>
      </c>
      <c r="S2" s="10" t="s">
        <v>3</v>
      </c>
      <c r="T2" s="10" t="s">
        <v>4</v>
      </c>
      <c r="U2" s="11" t="s">
        <v>5</v>
      </c>
      <c r="W2" s="6"/>
      <c r="X2" s="12" t="s">
        <v>2</v>
      </c>
      <c r="Y2" s="13" t="s">
        <v>3</v>
      </c>
      <c r="Z2" s="13" t="s">
        <v>4</v>
      </c>
      <c r="AA2" s="14" t="s">
        <v>5</v>
      </c>
      <c r="AB2" s="12" t="s">
        <v>2</v>
      </c>
      <c r="AC2" s="13" t="s">
        <v>3</v>
      </c>
      <c r="AD2" s="13" t="s">
        <v>4</v>
      </c>
      <c r="AE2" s="14" t="s">
        <v>5</v>
      </c>
      <c r="AF2" s="12" t="s">
        <v>2</v>
      </c>
      <c r="AG2" s="13" t="s">
        <v>3</v>
      </c>
      <c r="AH2" s="13" t="s">
        <v>4</v>
      </c>
      <c r="AI2" s="14" t="s">
        <v>5</v>
      </c>
      <c r="AJ2" s="12" t="s">
        <v>2</v>
      </c>
      <c r="AK2" s="13" t="s">
        <v>3</v>
      </c>
      <c r="AL2" s="13" t="s">
        <v>4</v>
      </c>
      <c r="AM2" s="14" t="s">
        <v>5</v>
      </c>
      <c r="AN2" s="12" t="s">
        <v>2</v>
      </c>
      <c r="AO2" s="13" t="s">
        <v>3</v>
      </c>
      <c r="AP2" s="13" t="s">
        <v>4</v>
      </c>
      <c r="AQ2" s="14" t="s">
        <v>5</v>
      </c>
      <c r="AR2" s="6"/>
    </row>
    <row r="3" spans="1:44" ht="13.8">
      <c r="A3" s="2">
        <v>1</v>
      </c>
      <c r="B3" s="15">
        <v>69</v>
      </c>
      <c r="C3" s="16">
        <v>56</v>
      </c>
      <c r="D3" s="16">
        <v>57</v>
      </c>
      <c r="E3" s="17">
        <v>56</v>
      </c>
      <c r="F3" s="18">
        <v>46179</v>
      </c>
      <c r="G3" s="19">
        <v>46118</v>
      </c>
      <c r="H3" s="19">
        <v>46179</v>
      </c>
      <c r="I3" s="20">
        <v>46117</v>
      </c>
      <c r="J3" s="15">
        <v>40</v>
      </c>
      <c r="K3" s="16">
        <v>50</v>
      </c>
      <c r="L3" s="16">
        <v>5</v>
      </c>
      <c r="M3" s="17">
        <v>35</v>
      </c>
      <c r="N3" s="15">
        <v>35</v>
      </c>
      <c r="O3" s="16">
        <v>45</v>
      </c>
      <c r="P3" s="16">
        <v>5</v>
      </c>
      <c r="Q3" s="17">
        <v>30</v>
      </c>
      <c r="R3" s="15">
        <v>30</v>
      </c>
      <c r="S3" s="16">
        <v>40</v>
      </c>
      <c r="T3" s="16">
        <v>15</v>
      </c>
      <c r="U3" s="17">
        <v>20</v>
      </c>
      <c r="W3" s="10" t="s">
        <v>7</v>
      </c>
      <c r="X3" s="21">
        <f>(AVERAGE(B3:B52))</f>
        <v>84.325000000000003</v>
      </c>
      <c r="Y3" s="21">
        <f t="shared" ref="Y3:AA3" si="0">(AVERAGE(C3:C39))</f>
        <v>82.648648648648646</v>
      </c>
      <c r="Z3" s="21">
        <f t="shared" si="0"/>
        <v>80.243243243243242</v>
      </c>
      <c r="AA3" s="21">
        <f t="shared" si="0"/>
        <v>79.243243243243242</v>
      </c>
      <c r="AB3" s="21">
        <f ca="1">ANOVA!M4</f>
        <v>0.92612612612612599</v>
      </c>
      <c r="AC3" s="21">
        <f ca="1">ANOVA!N4</f>
        <v>0.86396396396396402</v>
      </c>
      <c r="AD3" s="21">
        <f ca="1">ANOVA!O4</f>
        <v>0.89009009009008999</v>
      </c>
      <c r="AE3" s="21">
        <f ca="1">ANOVA!P4</f>
        <v>0.92314814814814705</v>
      </c>
      <c r="AF3" s="21">
        <f t="shared" ref="AF3:AQ3" si="1">(AVERAGE(J3:J52))</f>
        <v>38.125</v>
      </c>
      <c r="AG3" s="21">
        <f t="shared" si="1"/>
        <v>39.25</v>
      </c>
      <c r="AH3" s="21">
        <f t="shared" si="1"/>
        <v>36.875</v>
      </c>
      <c r="AI3" s="21">
        <f t="shared" si="1"/>
        <v>33</v>
      </c>
      <c r="AJ3" s="21">
        <f t="shared" si="1"/>
        <v>38.375</v>
      </c>
      <c r="AK3" s="21">
        <f t="shared" si="1"/>
        <v>40.75</v>
      </c>
      <c r="AL3" s="21">
        <f t="shared" si="1"/>
        <v>41.5</v>
      </c>
      <c r="AM3" s="21">
        <f t="shared" si="1"/>
        <v>39.75</v>
      </c>
      <c r="AN3" s="21">
        <f t="shared" si="1"/>
        <v>57.25</v>
      </c>
      <c r="AO3" s="21">
        <f t="shared" si="1"/>
        <v>52.125</v>
      </c>
      <c r="AP3" s="21">
        <f t="shared" si="1"/>
        <v>41.5</v>
      </c>
      <c r="AQ3" s="21">
        <f t="shared" si="1"/>
        <v>41</v>
      </c>
    </row>
    <row r="4" spans="1:44" ht="13.8">
      <c r="A4" s="2">
        <v>2</v>
      </c>
      <c r="B4" s="15">
        <v>79</v>
      </c>
      <c r="C4" s="16">
        <v>76</v>
      </c>
      <c r="D4" s="16">
        <v>63</v>
      </c>
      <c r="E4" s="17">
        <v>54</v>
      </c>
      <c r="F4" s="18">
        <v>46179</v>
      </c>
      <c r="G4" s="19">
        <v>46179</v>
      </c>
      <c r="H4" s="19">
        <v>46148</v>
      </c>
      <c r="I4" s="20">
        <v>46179</v>
      </c>
      <c r="J4" s="15">
        <v>0</v>
      </c>
      <c r="K4" s="16">
        <v>35</v>
      </c>
      <c r="L4" s="16">
        <v>25</v>
      </c>
      <c r="M4" s="17">
        <v>0</v>
      </c>
      <c r="N4" s="15">
        <v>20</v>
      </c>
      <c r="O4" s="16">
        <v>30</v>
      </c>
      <c r="P4" s="16">
        <v>35</v>
      </c>
      <c r="Q4" s="17">
        <v>5</v>
      </c>
      <c r="R4" s="15">
        <v>90</v>
      </c>
      <c r="S4" s="16">
        <v>90</v>
      </c>
      <c r="T4" s="16">
        <v>30</v>
      </c>
      <c r="U4" s="17">
        <v>35</v>
      </c>
      <c r="W4" s="10" t="s">
        <v>21</v>
      </c>
      <c r="X4" s="21">
        <f>STDEV(B3:B52)</f>
        <v>26.444317406144627</v>
      </c>
      <c r="Y4" s="21">
        <f t="shared" ref="Y4:AA4" si="2">STDEV(C3:C39)</f>
        <v>33.316009011531619</v>
      </c>
      <c r="Z4" s="21">
        <f t="shared" si="2"/>
        <v>35.241551710544279</v>
      </c>
      <c r="AA4" s="21">
        <f t="shared" si="2"/>
        <v>28.399340177590783</v>
      </c>
      <c r="AB4" s="21">
        <f ca="1">ANOVA!M5</f>
        <v>0.12301137534850901</v>
      </c>
      <c r="AC4" s="21">
        <f ca="1">ANOVA!N5</f>
        <v>0.12750656685542799</v>
      </c>
      <c r="AD4" s="21">
        <f ca="1">ANOVA!O5</f>
        <v>0.13830206359316299</v>
      </c>
      <c r="AE4" s="21">
        <f ca="1">ANOVA!P5</f>
        <v>9.6220462610840093E-2</v>
      </c>
      <c r="AF4" s="21">
        <f t="shared" ref="AF4:AQ4" si="3">STDEV(J3:J52)</f>
        <v>24.329139961824612</v>
      </c>
      <c r="AG4" s="21">
        <f t="shared" si="3"/>
        <v>22.20389201272652</v>
      </c>
      <c r="AH4" s="21">
        <f t="shared" si="3"/>
        <v>26.425694081562128</v>
      </c>
      <c r="AI4" s="21">
        <f t="shared" si="3"/>
        <v>25.665501139037762</v>
      </c>
      <c r="AJ4" s="21">
        <f t="shared" si="3"/>
        <v>20.643105883389264</v>
      </c>
      <c r="AK4" s="21">
        <f t="shared" si="3"/>
        <v>16.891433119203143</v>
      </c>
      <c r="AL4" s="21">
        <f t="shared" si="3"/>
        <v>23.890777106850894</v>
      </c>
      <c r="AM4" s="21">
        <f t="shared" si="3"/>
        <v>23.586991199518302</v>
      </c>
      <c r="AN4" s="21">
        <f t="shared" si="3"/>
        <v>18.18529978320754</v>
      </c>
      <c r="AO4" s="21">
        <f t="shared" si="3"/>
        <v>21.360384491881828</v>
      </c>
      <c r="AP4" s="21">
        <f t="shared" si="3"/>
        <v>21.932296756738477</v>
      </c>
      <c r="AQ4" s="21">
        <f t="shared" si="3"/>
        <v>19.552690155262326</v>
      </c>
    </row>
    <row r="5" spans="1:44" ht="13.8">
      <c r="A5" s="2">
        <v>3</v>
      </c>
      <c r="B5" s="15">
        <v>87</v>
      </c>
      <c r="C5" s="16">
        <v>98</v>
      </c>
      <c r="D5" s="16">
        <v>73</v>
      </c>
      <c r="E5" s="17">
        <v>76</v>
      </c>
      <c r="F5" s="18">
        <v>46147</v>
      </c>
      <c r="G5" s="19">
        <v>46118</v>
      </c>
      <c r="H5" s="19">
        <v>46118</v>
      </c>
      <c r="I5" s="20">
        <v>46147</v>
      </c>
      <c r="J5" s="15">
        <v>25</v>
      </c>
      <c r="K5" s="16">
        <v>25</v>
      </c>
      <c r="L5" s="16">
        <v>10</v>
      </c>
      <c r="M5" s="17">
        <v>5</v>
      </c>
      <c r="N5" s="15">
        <v>35</v>
      </c>
      <c r="O5" s="16">
        <v>65</v>
      </c>
      <c r="P5" s="16">
        <v>45</v>
      </c>
      <c r="Q5" s="17">
        <v>30</v>
      </c>
      <c r="R5" s="15">
        <v>35</v>
      </c>
      <c r="S5" s="16">
        <v>30</v>
      </c>
      <c r="T5" s="16">
        <v>25</v>
      </c>
      <c r="U5" s="17">
        <v>15</v>
      </c>
    </row>
    <row r="6" spans="1:44" ht="13.8">
      <c r="A6" s="2">
        <v>4</v>
      </c>
      <c r="B6" s="15">
        <v>103</v>
      </c>
      <c r="C6" s="16">
        <v>98</v>
      </c>
      <c r="D6" s="16">
        <v>80</v>
      </c>
      <c r="E6" s="17">
        <v>114</v>
      </c>
      <c r="F6" s="18">
        <v>46147</v>
      </c>
      <c r="G6" s="19">
        <v>46117</v>
      </c>
      <c r="H6" s="19">
        <v>46179</v>
      </c>
      <c r="I6" s="20">
        <v>46179</v>
      </c>
      <c r="J6" s="15">
        <v>15</v>
      </c>
      <c r="K6" s="16">
        <v>30</v>
      </c>
      <c r="L6" s="16">
        <v>0</v>
      </c>
      <c r="M6" s="17">
        <v>5</v>
      </c>
      <c r="N6" s="15">
        <v>55</v>
      </c>
      <c r="O6" s="16">
        <v>40</v>
      </c>
      <c r="P6" s="16">
        <v>80</v>
      </c>
      <c r="Q6" s="17">
        <v>45</v>
      </c>
      <c r="R6" s="15">
        <v>25</v>
      </c>
      <c r="S6" s="16">
        <v>30</v>
      </c>
      <c r="T6" s="16">
        <v>0</v>
      </c>
      <c r="U6" s="17">
        <v>10</v>
      </c>
    </row>
    <row r="7" spans="1:44" ht="13.8">
      <c r="A7" s="2">
        <v>5</v>
      </c>
      <c r="B7" s="15">
        <v>170</v>
      </c>
      <c r="C7" s="16">
        <v>241</v>
      </c>
      <c r="D7" s="16">
        <v>174</v>
      </c>
      <c r="E7" s="17">
        <v>172</v>
      </c>
      <c r="F7" s="18">
        <v>46179</v>
      </c>
      <c r="G7" s="19">
        <v>46086</v>
      </c>
      <c r="H7" s="19">
        <v>46147</v>
      </c>
      <c r="I7" s="20">
        <v>46148</v>
      </c>
      <c r="J7" s="15">
        <v>40</v>
      </c>
      <c r="K7" s="16">
        <v>75</v>
      </c>
      <c r="L7" s="16">
        <v>80</v>
      </c>
      <c r="M7" s="17">
        <v>40</v>
      </c>
      <c r="N7" s="15">
        <v>45</v>
      </c>
      <c r="O7" s="16">
        <v>40</v>
      </c>
      <c r="P7" s="16">
        <v>35</v>
      </c>
      <c r="Q7" s="17">
        <v>60</v>
      </c>
      <c r="R7" s="15">
        <v>45</v>
      </c>
      <c r="S7" s="16">
        <v>65</v>
      </c>
      <c r="T7" s="16">
        <v>65</v>
      </c>
      <c r="U7" s="17">
        <v>35</v>
      </c>
    </row>
    <row r="8" spans="1:44" ht="13.8">
      <c r="A8" s="2">
        <v>6</v>
      </c>
      <c r="B8" s="15">
        <v>63</v>
      </c>
      <c r="C8" s="16">
        <v>61</v>
      </c>
      <c r="D8" s="16">
        <v>45</v>
      </c>
      <c r="E8" s="17">
        <v>53</v>
      </c>
      <c r="F8" s="18">
        <v>46147</v>
      </c>
      <c r="G8" s="19">
        <v>46148</v>
      </c>
      <c r="H8" s="19">
        <v>46179</v>
      </c>
      <c r="I8" s="20">
        <v>46147</v>
      </c>
      <c r="J8" s="15">
        <v>15</v>
      </c>
      <c r="K8" s="16">
        <v>15</v>
      </c>
      <c r="L8" s="16">
        <v>30</v>
      </c>
      <c r="M8" s="17">
        <v>65</v>
      </c>
      <c r="N8" s="15">
        <v>30</v>
      </c>
      <c r="O8" s="16">
        <v>75</v>
      </c>
      <c r="P8" s="16">
        <v>10</v>
      </c>
      <c r="Q8" s="17">
        <v>35</v>
      </c>
      <c r="R8" s="15">
        <v>75</v>
      </c>
      <c r="S8" s="16">
        <v>30</v>
      </c>
      <c r="T8" s="16">
        <v>65</v>
      </c>
      <c r="U8" s="17">
        <v>60</v>
      </c>
    </row>
    <row r="9" spans="1:44" ht="13.8">
      <c r="A9" s="2">
        <v>7</v>
      </c>
      <c r="B9" s="15">
        <v>122</v>
      </c>
      <c r="C9" s="16">
        <v>119</v>
      </c>
      <c r="D9" s="16">
        <v>177</v>
      </c>
      <c r="E9" s="17">
        <v>131</v>
      </c>
      <c r="F9" s="18">
        <v>46147</v>
      </c>
      <c r="G9" s="19">
        <v>46179</v>
      </c>
      <c r="H9" s="19">
        <v>46148</v>
      </c>
      <c r="I9" s="20">
        <v>46147</v>
      </c>
      <c r="J9" s="15">
        <v>55</v>
      </c>
      <c r="K9" s="16">
        <v>45</v>
      </c>
      <c r="L9" s="16">
        <v>65</v>
      </c>
      <c r="M9" s="17">
        <v>60</v>
      </c>
      <c r="N9" s="15">
        <v>80</v>
      </c>
      <c r="O9" s="16">
        <v>35</v>
      </c>
      <c r="P9" s="16">
        <v>35</v>
      </c>
      <c r="Q9" s="17">
        <v>45</v>
      </c>
      <c r="R9" s="15">
        <v>45</v>
      </c>
      <c r="S9" s="16">
        <v>40</v>
      </c>
      <c r="T9" s="16">
        <v>45</v>
      </c>
      <c r="U9" s="17">
        <v>55</v>
      </c>
    </row>
    <row r="10" spans="1:44" ht="13.8">
      <c r="A10" s="2">
        <v>8</v>
      </c>
      <c r="B10" s="15">
        <v>70</v>
      </c>
      <c r="C10" s="16">
        <v>79</v>
      </c>
      <c r="D10" s="16">
        <v>56</v>
      </c>
      <c r="E10" s="17">
        <v>59</v>
      </c>
      <c r="F10" s="18">
        <v>46179</v>
      </c>
      <c r="G10" s="19">
        <v>46147</v>
      </c>
      <c r="H10" s="19">
        <v>46179</v>
      </c>
      <c r="I10" s="20">
        <v>46147</v>
      </c>
      <c r="J10" s="15">
        <v>30</v>
      </c>
      <c r="K10" s="16">
        <v>70</v>
      </c>
      <c r="L10" s="16">
        <v>70</v>
      </c>
      <c r="M10" s="17">
        <v>20</v>
      </c>
      <c r="N10" s="15">
        <v>20</v>
      </c>
      <c r="O10" s="16">
        <v>20</v>
      </c>
      <c r="P10" s="16">
        <v>15</v>
      </c>
      <c r="Q10" s="17">
        <v>15</v>
      </c>
      <c r="R10" s="15">
        <v>60</v>
      </c>
      <c r="S10" s="16">
        <v>35</v>
      </c>
      <c r="T10" s="16">
        <v>80</v>
      </c>
      <c r="U10" s="17">
        <v>65</v>
      </c>
    </row>
    <row r="11" spans="1:44" ht="13.8">
      <c r="A11" s="2">
        <v>9</v>
      </c>
      <c r="B11" s="15">
        <v>79</v>
      </c>
      <c r="C11" s="16">
        <v>71</v>
      </c>
      <c r="D11" s="16">
        <v>72</v>
      </c>
      <c r="E11" s="17">
        <v>67</v>
      </c>
      <c r="F11" s="18">
        <v>46147</v>
      </c>
      <c r="G11" s="19">
        <v>46148</v>
      </c>
      <c r="H11" s="19">
        <v>46148</v>
      </c>
      <c r="I11" s="20">
        <v>46148</v>
      </c>
      <c r="J11" s="15">
        <v>40</v>
      </c>
      <c r="K11" s="16">
        <v>65</v>
      </c>
      <c r="L11" s="16">
        <v>25</v>
      </c>
      <c r="M11" s="17">
        <v>5</v>
      </c>
      <c r="N11" s="15">
        <v>0</v>
      </c>
      <c r="O11" s="16">
        <v>35</v>
      </c>
      <c r="P11" s="16">
        <v>20</v>
      </c>
      <c r="Q11" s="17">
        <v>15</v>
      </c>
      <c r="R11" s="15">
        <v>25</v>
      </c>
      <c r="S11" s="16">
        <v>75</v>
      </c>
      <c r="T11" s="16">
        <v>25</v>
      </c>
      <c r="U11" s="17">
        <v>15</v>
      </c>
    </row>
    <row r="12" spans="1:44" ht="13.8">
      <c r="A12" s="2">
        <v>10</v>
      </c>
      <c r="B12" s="15">
        <v>110</v>
      </c>
      <c r="C12" s="16">
        <v>96</v>
      </c>
      <c r="D12" s="16">
        <v>92</v>
      </c>
      <c r="E12" s="17">
        <v>127</v>
      </c>
      <c r="F12" s="18">
        <v>46117</v>
      </c>
      <c r="G12" s="19">
        <v>46179</v>
      </c>
      <c r="H12" s="19">
        <v>46147</v>
      </c>
      <c r="I12" s="20">
        <v>46179</v>
      </c>
      <c r="J12" s="15">
        <v>30</v>
      </c>
      <c r="K12" s="16">
        <v>20</v>
      </c>
      <c r="L12" s="16">
        <v>15</v>
      </c>
      <c r="M12" s="17">
        <v>25</v>
      </c>
      <c r="N12" s="15">
        <v>60</v>
      </c>
      <c r="O12" s="16">
        <v>65</v>
      </c>
      <c r="P12" s="16">
        <v>70</v>
      </c>
      <c r="Q12" s="17">
        <v>60</v>
      </c>
      <c r="R12" s="15">
        <v>55</v>
      </c>
      <c r="S12" s="16">
        <v>35</v>
      </c>
      <c r="T12" s="16">
        <v>20</v>
      </c>
      <c r="U12" s="17">
        <v>30</v>
      </c>
    </row>
    <row r="13" spans="1:44" ht="13.8">
      <c r="A13" s="2">
        <v>11</v>
      </c>
      <c r="B13" s="15">
        <v>90</v>
      </c>
      <c r="C13" s="16">
        <v>106</v>
      </c>
      <c r="D13" s="16">
        <v>90</v>
      </c>
      <c r="E13" s="17">
        <v>80</v>
      </c>
      <c r="F13" s="18">
        <v>46148</v>
      </c>
      <c r="G13" s="19">
        <v>46148</v>
      </c>
      <c r="H13" s="19">
        <v>46179</v>
      </c>
      <c r="I13" s="20">
        <v>46179</v>
      </c>
      <c r="J13" s="15">
        <v>55</v>
      </c>
      <c r="K13" s="16">
        <v>65</v>
      </c>
      <c r="L13" s="16">
        <v>80</v>
      </c>
      <c r="M13" s="17">
        <v>70</v>
      </c>
      <c r="N13" s="15">
        <v>45</v>
      </c>
      <c r="O13" s="16">
        <v>35</v>
      </c>
      <c r="P13" s="16">
        <v>70</v>
      </c>
      <c r="Q13" s="17">
        <v>65</v>
      </c>
      <c r="R13" s="15">
        <v>70</v>
      </c>
      <c r="S13" s="16">
        <v>80</v>
      </c>
      <c r="T13" s="16">
        <v>85</v>
      </c>
      <c r="U13" s="17">
        <v>60</v>
      </c>
    </row>
    <row r="14" spans="1:44" ht="13.8">
      <c r="A14" s="2">
        <v>12</v>
      </c>
      <c r="B14" s="15">
        <v>62</v>
      </c>
      <c r="C14" s="16">
        <v>63</v>
      </c>
      <c r="D14" s="16">
        <v>92</v>
      </c>
      <c r="E14" s="17">
        <v>60</v>
      </c>
      <c r="F14" s="18">
        <v>46147</v>
      </c>
      <c r="G14" s="19">
        <v>46118</v>
      </c>
      <c r="H14" s="19">
        <v>46179</v>
      </c>
      <c r="I14" s="20">
        <v>46147</v>
      </c>
      <c r="J14" s="15">
        <v>45</v>
      </c>
      <c r="K14" s="16">
        <v>50</v>
      </c>
      <c r="L14" s="16">
        <v>40</v>
      </c>
      <c r="M14" s="17">
        <v>45</v>
      </c>
      <c r="N14" s="15">
        <v>25</v>
      </c>
      <c r="O14" s="16">
        <v>60</v>
      </c>
      <c r="P14" s="16">
        <v>40</v>
      </c>
      <c r="Q14" s="17">
        <v>30</v>
      </c>
      <c r="R14" s="15">
        <v>85</v>
      </c>
      <c r="S14" s="16">
        <v>90</v>
      </c>
      <c r="T14" s="16">
        <v>35</v>
      </c>
      <c r="U14" s="17">
        <v>30</v>
      </c>
    </row>
    <row r="15" spans="1:44" ht="13.8">
      <c r="A15" s="2">
        <v>13</v>
      </c>
      <c r="B15" s="15">
        <v>94</v>
      </c>
      <c r="C15" s="16">
        <v>84</v>
      </c>
      <c r="D15" s="16">
        <v>82</v>
      </c>
      <c r="E15" s="17">
        <v>78</v>
      </c>
      <c r="F15" s="18">
        <v>46179</v>
      </c>
      <c r="G15" s="19">
        <v>46117</v>
      </c>
      <c r="H15" s="19">
        <v>46179</v>
      </c>
      <c r="I15" s="20">
        <v>46148</v>
      </c>
      <c r="J15" s="15">
        <v>25</v>
      </c>
      <c r="K15" s="16">
        <v>35</v>
      </c>
      <c r="L15" s="16">
        <v>50</v>
      </c>
      <c r="M15" s="17">
        <v>45</v>
      </c>
      <c r="N15" s="15">
        <v>45</v>
      </c>
      <c r="O15" s="16">
        <v>40</v>
      </c>
      <c r="P15" s="16">
        <v>40</v>
      </c>
      <c r="Q15" s="17">
        <v>45</v>
      </c>
      <c r="R15" s="15">
        <v>50</v>
      </c>
      <c r="S15" s="16">
        <v>50</v>
      </c>
      <c r="T15" s="16">
        <v>35</v>
      </c>
      <c r="U15" s="17">
        <v>45</v>
      </c>
    </row>
    <row r="16" spans="1:44" ht="13.8">
      <c r="A16" s="2">
        <v>14</v>
      </c>
      <c r="B16" s="15">
        <v>48</v>
      </c>
      <c r="C16" s="16">
        <v>50</v>
      </c>
      <c r="D16" s="16">
        <v>47</v>
      </c>
      <c r="E16" s="17">
        <v>53</v>
      </c>
      <c r="F16" s="18">
        <v>46087</v>
      </c>
      <c r="G16" s="19">
        <v>46117</v>
      </c>
      <c r="H16" s="19">
        <v>46179</v>
      </c>
      <c r="I16" s="20">
        <v>46118</v>
      </c>
      <c r="J16" s="15">
        <v>90</v>
      </c>
      <c r="K16" s="16">
        <v>5</v>
      </c>
      <c r="L16" s="16">
        <v>5</v>
      </c>
      <c r="M16" s="17">
        <v>75</v>
      </c>
      <c r="N16" s="15">
        <v>10</v>
      </c>
      <c r="O16" s="16">
        <v>90</v>
      </c>
      <c r="P16" s="16">
        <v>70</v>
      </c>
      <c r="Q16" s="17">
        <v>65</v>
      </c>
      <c r="R16" s="15">
        <v>85</v>
      </c>
      <c r="S16" s="16">
        <v>10</v>
      </c>
      <c r="T16" s="16">
        <v>15</v>
      </c>
      <c r="U16" s="17">
        <v>20</v>
      </c>
    </row>
    <row r="17" spans="1:28" ht="13.8">
      <c r="A17" s="2">
        <v>15</v>
      </c>
      <c r="B17" s="15">
        <v>67</v>
      </c>
      <c r="C17" s="16">
        <v>62</v>
      </c>
      <c r="D17" s="16">
        <v>55</v>
      </c>
      <c r="E17" s="17">
        <v>70</v>
      </c>
      <c r="F17" s="18">
        <v>46148</v>
      </c>
      <c r="G17" s="19">
        <v>46179</v>
      </c>
      <c r="H17" s="19">
        <v>46117</v>
      </c>
      <c r="I17" s="20">
        <v>46148</v>
      </c>
      <c r="J17" s="15">
        <v>65</v>
      </c>
      <c r="K17" s="16">
        <v>20</v>
      </c>
      <c r="L17" s="16">
        <v>65</v>
      </c>
      <c r="M17" s="17">
        <v>45</v>
      </c>
      <c r="N17" s="15">
        <v>60</v>
      </c>
      <c r="O17" s="16">
        <v>40</v>
      </c>
      <c r="P17" s="16">
        <v>60</v>
      </c>
      <c r="Q17" s="17">
        <v>70</v>
      </c>
      <c r="R17" s="15">
        <v>40</v>
      </c>
      <c r="S17" s="16">
        <v>35</v>
      </c>
      <c r="T17" s="16">
        <v>35</v>
      </c>
      <c r="U17" s="17">
        <v>30</v>
      </c>
    </row>
    <row r="18" spans="1:28" ht="13.8">
      <c r="A18" s="2">
        <v>16</v>
      </c>
      <c r="B18" s="15">
        <v>104</v>
      </c>
      <c r="C18" s="16">
        <v>82</v>
      </c>
      <c r="D18" s="16">
        <v>109</v>
      </c>
      <c r="E18" s="17">
        <v>94</v>
      </c>
      <c r="F18" s="18">
        <v>46147</v>
      </c>
      <c r="G18" s="19">
        <v>46179</v>
      </c>
      <c r="H18" s="19">
        <v>46148</v>
      </c>
      <c r="I18" s="20">
        <v>46147</v>
      </c>
      <c r="J18" s="15">
        <v>100</v>
      </c>
      <c r="K18" s="16">
        <v>100</v>
      </c>
      <c r="L18" s="16">
        <v>100</v>
      </c>
      <c r="M18" s="17">
        <v>100</v>
      </c>
      <c r="N18" s="15">
        <v>75</v>
      </c>
      <c r="O18" s="16">
        <v>20</v>
      </c>
      <c r="P18" s="16">
        <v>35</v>
      </c>
      <c r="Q18" s="17">
        <v>85</v>
      </c>
      <c r="R18" s="15">
        <v>75</v>
      </c>
      <c r="S18" s="16">
        <v>90</v>
      </c>
      <c r="T18" s="16">
        <v>85</v>
      </c>
      <c r="U18" s="17">
        <v>65</v>
      </c>
    </row>
    <row r="19" spans="1:28" ht="13.8">
      <c r="A19" s="2">
        <v>17</v>
      </c>
      <c r="B19" s="15">
        <v>80</v>
      </c>
      <c r="C19" s="16">
        <v>70</v>
      </c>
      <c r="D19" s="16">
        <v>62</v>
      </c>
      <c r="E19" s="17">
        <v>67</v>
      </c>
      <c r="F19" s="18">
        <v>46179</v>
      </c>
      <c r="G19" s="19">
        <v>46179</v>
      </c>
      <c r="H19" s="19">
        <v>46148</v>
      </c>
      <c r="I19" s="20">
        <v>46148</v>
      </c>
      <c r="J19" s="15">
        <v>20</v>
      </c>
      <c r="K19" s="16">
        <v>30</v>
      </c>
      <c r="L19" s="16">
        <v>25</v>
      </c>
      <c r="M19" s="17">
        <v>25</v>
      </c>
      <c r="N19" s="15">
        <v>35</v>
      </c>
      <c r="O19" s="16">
        <v>45</v>
      </c>
      <c r="P19" s="16">
        <v>65</v>
      </c>
      <c r="Q19" s="17">
        <v>65</v>
      </c>
      <c r="R19" s="15">
        <v>65</v>
      </c>
      <c r="S19" s="16">
        <v>55</v>
      </c>
      <c r="T19" s="16">
        <v>35</v>
      </c>
      <c r="U19" s="17">
        <v>60</v>
      </c>
    </row>
    <row r="20" spans="1:28" ht="13.8">
      <c r="A20" s="2">
        <v>18</v>
      </c>
      <c r="B20" s="15">
        <v>67</v>
      </c>
      <c r="C20" s="16">
        <v>64</v>
      </c>
      <c r="D20" s="16">
        <v>54</v>
      </c>
      <c r="E20" s="17">
        <v>58</v>
      </c>
      <c r="F20" s="18">
        <v>46147</v>
      </c>
      <c r="G20" s="19">
        <v>46147</v>
      </c>
      <c r="H20" s="19">
        <v>46147</v>
      </c>
      <c r="I20" s="20">
        <v>46147</v>
      </c>
      <c r="J20" s="15">
        <v>65</v>
      </c>
      <c r="K20" s="16">
        <v>20</v>
      </c>
      <c r="L20" s="16">
        <v>35</v>
      </c>
      <c r="M20" s="17">
        <v>60</v>
      </c>
      <c r="N20" s="15">
        <v>60</v>
      </c>
      <c r="O20" s="16">
        <v>40</v>
      </c>
      <c r="P20" s="16">
        <v>30</v>
      </c>
      <c r="Q20" s="17">
        <v>45</v>
      </c>
      <c r="R20" s="15">
        <v>60</v>
      </c>
      <c r="S20" s="16">
        <v>30</v>
      </c>
      <c r="T20" s="16">
        <v>40</v>
      </c>
      <c r="U20" s="17">
        <v>40</v>
      </c>
    </row>
    <row r="21" spans="1:28" ht="13.8">
      <c r="A21" s="2">
        <v>19</v>
      </c>
      <c r="B21" s="15">
        <v>77</v>
      </c>
      <c r="C21" s="16">
        <v>75</v>
      </c>
      <c r="D21" s="16">
        <v>70</v>
      </c>
      <c r="E21" s="17">
        <v>83</v>
      </c>
      <c r="F21" s="18">
        <v>46147</v>
      </c>
      <c r="G21" s="19">
        <v>46117</v>
      </c>
      <c r="H21" s="19">
        <v>46118</v>
      </c>
      <c r="I21" s="20">
        <v>46147</v>
      </c>
      <c r="J21" s="15">
        <v>0</v>
      </c>
      <c r="K21" s="16">
        <v>0</v>
      </c>
      <c r="L21" s="16">
        <v>15</v>
      </c>
      <c r="M21" s="17">
        <v>0</v>
      </c>
      <c r="N21" s="15">
        <v>30</v>
      </c>
      <c r="O21" s="16">
        <v>30</v>
      </c>
      <c r="P21" s="16">
        <v>40</v>
      </c>
      <c r="Q21" s="17">
        <v>30</v>
      </c>
      <c r="R21" s="15">
        <v>30</v>
      </c>
      <c r="S21" s="16">
        <v>25</v>
      </c>
      <c r="T21" s="16">
        <v>30</v>
      </c>
      <c r="U21" s="17">
        <v>20</v>
      </c>
    </row>
    <row r="22" spans="1:28" ht="15.75" customHeight="1">
      <c r="A22" s="2">
        <v>20</v>
      </c>
      <c r="B22" s="15">
        <v>97</v>
      </c>
      <c r="C22" s="16">
        <v>91</v>
      </c>
      <c r="D22" s="16">
        <v>82</v>
      </c>
      <c r="E22" s="17">
        <v>108</v>
      </c>
      <c r="F22" s="18">
        <v>46147</v>
      </c>
      <c r="G22" s="19">
        <v>46147</v>
      </c>
      <c r="H22" s="19">
        <v>46087</v>
      </c>
      <c r="I22" s="20">
        <v>46148</v>
      </c>
      <c r="J22" s="15">
        <v>25</v>
      </c>
      <c r="K22" s="16">
        <v>10</v>
      </c>
      <c r="L22" s="16">
        <v>80</v>
      </c>
      <c r="M22" s="17">
        <v>60</v>
      </c>
      <c r="N22" s="15">
        <v>30</v>
      </c>
      <c r="O22" s="16">
        <v>25</v>
      </c>
      <c r="P22" s="16">
        <v>40</v>
      </c>
      <c r="Q22" s="17">
        <v>50</v>
      </c>
      <c r="R22" s="15">
        <v>50</v>
      </c>
      <c r="S22" s="16">
        <v>30</v>
      </c>
      <c r="T22" s="16">
        <v>35</v>
      </c>
      <c r="U22" s="17">
        <v>30</v>
      </c>
      <c r="AB22" s="22"/>
    </row>
    <row r="23" spans="1:28" ht="15.75" customHeight="1">
      <c r="A23" s="2">
        <v>21</v>
      </c>
      <c r="B23" s="15">
        <v>47</v>
      </c>
      <c r="C23" s="16">
        <v>54</v>
      </c>
      <c r="D23" s="16">
        <v>37</v>
      </c>
      <c r="E23" s="17">
        <v>44</v>
      </c>
      <c r="F23" s="18">
        <v>46117</v>
      </c>
      <c r="G23" s="19">
        <v>46117</v>
      </c>
      <c r="H23" s="19">
        <v>46148</v>
      </c>
      <c r="I23" s="20">
        <v>46148</v>
      </c>
      <c r="J23" s="15">
        <v>20</v>
      </c>
      <c r="K23" s="16">
        <v>20</v>
      </c>
      <c r="L23" s="16">
        <v>10</v>
      </c>
      <c r="M23" s="17">
        <v>30</v>
      </c>
      <c r="N23" s="15">
        <v>60</v>
      </c>
      <c r="O23" s="16">
        <v>40</v>
      </c>
      <c r="P23" s="16">
        <v>80</v>
      </c>
      <c r="Q23" s="17">
        <v>60</v>
      </c>
      <c r="R23" s="15">
        <v>70</v>
      </c>
      <c r="S23" s="16">
        <v>70</v>
      </c>
      <c r="T23" s="16">
        <v>40</v>
      </c>
      <c r="U23" s="17">
        <v>30</v>
      </c>
      <c r="AB23" s="22"/>
    </row>
    <row r="24" spans="1:28" ht="15.75" customHeight="1">
      <c r="A24" s="23">
        <v>22</v>
      </c>
      <c r="B24" s="15">
        <v>75</v>
      </c>
      <c r="C24" s="16">
        <v>60</v>
      </c>
      <c r="D24" s="16">
        <v>75</v>
      </c>
      <c r="E24" s="17">
        <v>67</v>
      </c>
      <c r="F24" s="18">
        <v>46179</v>
      </c>
      <c r="G24" s="19">
        <v>46148</v>
      </c>
      <c r="H24" s="19">
        <v>46118</v>
      </c>
      <c r="I24" s="20">
        <v>46147</v>
      </c>
      <c r="J24" s="15">
        <v>5</v>
      </c>
      <c r="K24" s="16">
        <v>15</v>
      </c>
      <c r="L24" s="16">
        <v>50</v>
      </c>
      <c r="M24" s="17">
        <v>0</v>
      </c>
      <c r="N24" s="15">
        <v>20</v>
      </c>
      <c r="O24" s="16">
        <v>25</v>
      </c>
      <c r="P24" s="16">
        <v>40</v>
      </c>
      <c r="Q24" s="17">
        <v>20</v>
      </c>
      <c r="R24" s="15">
        <v>80</v>
      </c>
      <c r="S24" s="16">
        <v>75</v>
      </c>
      <c r="T24" s="16">
        <v>70</v>
      </c>
      <c r="U24" s="17">
        <v>75</v>
      </c>
      <c r="AB24" s="22"/>
    </row>
    <row r="25" spans="1:28" ht="15.75" customHeight="1">
      <c r="A25" s="23">
        <v>23</v>
      </c>
      <c r="B25" s="15">
        <v>50</v>
      </c>
      <c r="C25" s="16">
        <v>36</v>
      </c>
      <c r="D25" s="16">
        <v>37</v>
      </c>
      <c r="E25" s="17">
        <v>33</v>
      </c>
      <c r="F25" s="18">
        <v>46148</v>
      </c>
      <c r="G25" s="19">
        <v>46117</v>
      </c>
      <c r="H25" s="19">
        <v>46118</v>
      </c>
      <c r="I25" s="20">
        <v>46148</v>
      </c>
      <c r="J25" s="15">
        <v>40</v>
      </c>
      <c r="K25" s="16">
        <v>35</v>
      </c>
      <c r="L25" s="16">
        <v>5</v>
      </c>
      <c r="M25" s="17">
        <v>0</v>
      </c>
      <c r="N25" s="15">
        <v>40</v>
      </c>
      <c r="O25" s="16">
        <v>70</v>
      </c>
      <c r="P25" s="16">
        <v>30</v>
      </c>
      <c r="Q25" s="17">
        <v>5</v>
      </c>
      <c r="R25" s="15">
        <v>40</v>
      </c>
      <c r="S25" s="16">
        <v>35</v>
      </c>
      <c r="T25" s="16">
        <v>20</v>
      </c>
      <c r="U25" s="17">
        <v>15</v>
      </c>
      <c r="AB25" s="22"/>
    </row>
    <row r="26" spans="1:28" ht="15.75" customHeight="1">
      <c r="A26" s="23">
        <v>24</v>
      </c>
      <c r="B26" s="15">
        <v>76</v>
      </c>
      <c r="C26" s="16">
        <v>79</v>
      </c>
      <c r="D26" s="16">
        <v>57</v>
      </c>
      <c r="E26" s="17">
        <v>55</v>
      </c>
      <c r="F26" s="18">
        <v>46147</v>
      </c>
      <c r="G26" s="19">
        <v>46179</v>
      </c>
      <c r="H26" s="19">
        <v>46148</v>
      </c>
      <c r="I26" s="20">
        <v>46147</v>
      </c>
      <c r="J26" s="15">
        <v>60</v>
      </c>
      <c r="K26" s="16">
        <v>40</v>
      </c>
      <c r="L26" s="16">
        <v>50</v>
      </c>
      <c r="M26" s="17">
        <v>30</v>
      </c>
      <c r="N26" s="15">
        <v>15</v>
      </c>
      <c r="O26" s="16">
        <v>15</v>
      </c>
      <c r="P26" s="16">
        <v>25</v>
      </c>
      <c r="Q26" s="17">
        <v>10</v>
      </c>
      <c r="R26" s="15">
        <v>60</v>
      </c>
      <c r="S26" s="16">
        <v>50</v>
      </c>
      <c r="T26" s="16">
        <v>75</v>
      </c>
      <c r="U26" s="17">
        <v>40</v>
      </c>
      <c r="AB26" s="22"/>
    </row>
    <row r="27" spans="1:28" ht="15.75" customHeight="1">
      <c r="A27" s="2">
        <v>25</v>
      </c>
      <c r="B27" s="15">
        <v>97</v>
      </c>
      <c r="C27" s="16">
        <v>84</v>
      </c>
      <c r="D27" s="16">
        <v>94</v>
      </c>
      <c r="E27" s="17">
        <v>109</v>
      </c>
      <c r="F27" s="18">
        <v>46148</v>
      </c>
      <c r="G27" s="19">
        <v>46148</v>
      </c>
      <c r="H27" s="19">
        <v>46117</v>
      </c>
      <c r="I27" s="20">
        <v>46148</v>
      </c>
      <c r="J27" s="15">
        <v>60</v>
      </c>
      <c r="K27" s="16">
        <v>45</v>
      </c>
      <c r="L27" s="16">
        <v>50</v>
      </c>
      <c r="M27" s="17">
        <v>50</v>
      </c>
      <c r="N27" s="15">
        <v>25</v>
      </c>
      <c r="O27" s="16">
        <v>30</v>
      </c>
      <c r="P27" s="16">
        <v>25</v>
      </c>
      <c r="Q27" s="17">
        <v>35</v>
      </c>
      <c r="R27" s="15">
        <v>65</v>
      </c>
      <c r="S27" s="16">
        <v>70</v>
      </c>
      <c r="T27" s="16">
        <v>60</v>
      </c>
      <c r="U27" s="17">
        <v>70</v>
      </c>
      <c r="AB27" s="24"/>
    </row>
    <row r="28" spans="1:28" ht="15.75" customHeight="1">
      <c r="A28" s="23">
        <v>26</v>
      </c>
      <c r="B28" s="15">
        <v>85</v>
      </c>
      <c r="C28" s="16">
        <v>72</v>
      </c>
      <c r="D28" s="16">
        <v>91</v>
      </c>
      <c r="E28" s="17">
        <v>107</v>
      </c>
      <c r="F28" s="18">
        <v>46147</v>
      </c>
      <c r="G28" s="19">
        <v>46179</v>
      </c>
      <c r="H28" s="19">
        <v>46179</v>
      </c>
      <c r="I28" s="20">
        <v>46117</v>
      </c>
      <c r="J28" s="15">
        <v>65</v>
      </c>
      <c r="K28" s="16">
        <v>50</v>
      </c>
      <c r="L28" s="16">
        <v>55</v>
      </c>
      <c r="M28" s="17">
        <v>50</v>
      </c>
      <c r="N28" s="15">
        <v>30</v>
      </c>
      <c r="O28" s="16">
        <v>15</v>
      </c>
      <c r="P28" s="16">
        <v>35</v>
      </c>
      <c r="Q28" s="17">
        <v>40</v>
      </c>
      <c r="R28" s="15">
        <v>65</v>
      </c>
      <c r="S28" s="16">
        <v>55</v>
      </c>
      <c r="T28" s="16">
        <v>65</v>
      </c>
      <c r="U28" s="17">
        <v>60</v>
      </c>
      <c r="AB28" s="24"/>
    </row>
    <row r="29" spans="1:28" ht="15.75" customHeight="1">
      <c r="A29" s="23">
        <v>27</v>
      </c>
      <c r="B29" s="15">
        <v>76</v>
      </c>
      <c r="C29" s="16">
        <v>87</v>
      </c>
      <c r="D29" s="16">
        <v>73</v>
      </c>
      <c r="E29" s="17">
        <v>83</v>
      </c>
      <c r="F29" s="18">
        <v>46147</v>
      </c>
      <c r="G29" s="19">
        <v>46147</v>
      </c>
      <c r="H29" s="19">
        <v>46148</v>
      </c>
      <c r="I29" s="20">
        <v>46147</v>
      </c>
      <c r="J29" s="15">
        <v>30</v>
      </c>
      <c r="K29" s="16">
        <v>35</v>
      </c>
      <c r="L29" s="16">
        <v>35</v>
      </c>
      <c r="M29" s="17">
        <v>25</v>
      </c>
      <c r="N29" s="15">
        <v>20</v>
      </c>
      <c r="O29" s="16">
        <v>30</v>
      </c>
      <c r="P29" s="16">
        <v>30</v>
      </c>
      <c r="Q29" s="17">
        <v>15</v>
      </c>
      <c r="R29" s="15">
        <v>55</v>
      </c>
      <c r="S29" s="16">
        <v>60</v>
      </c>
      <c r="T29" s="16">
        <v>45</v>
      </c>
      <c r="U29" s="17">
        <v>50</v>
      </c>
      <c r="AB29" s="25"/>
    </row>
    <row r="30" spans="1:28" ht="14.4">
      <c r="A30" s="23">
        <v>28</v>
      </c>
      <c r="B30" s="15">
        <v>94</v>
      </c>
      <c r="C30" s="16">
        <v>109</v>
      </c>
      <c r="D30" s="16">
        <v>86</v>
      </c>
      <c r="E30" s="17">
        <v>93</v>
      </c>
      <c r="F30" s="18">
        <v>46148</v>
      </c>
      <c r="G30" s="19">
        <v>46179</v>
      </c>
      <c r="H30" s="19">
        <v>46147</v>
      </c>
      <c r="I30" s="20">
        <v>46147</v>
      </c>
      <c r="J30" s="15">
        <v>60</v>
      </c>
      <c r="K30" s="16">
        <v>60</v>
      </c>
      <c r="L30" s="16">
        <v>60</v>
      </c>
      <c r="M30" s="17">
        <v>60</v>
      </c>
      <c r="N30" s="15">
        <v>35</v>
      </c>
      <c r="O30" s="16">
        <v>45</v>
      </c>
      <c r="P30" s="16">
        <v>30</v>
      </c>
      <c r="Q30" s="17">
        <v>30</v>
      </c>
      <c r="R30" s="15">
        <v>60</v>
      </c>
      <c r="S30" s="16">
        <v>65</v>
      </c>
      <c r="T30" s="16">
        <v>55</v>
      </c>
      <c r="U30" s="17">
        <v>55</v>
      </c>
      <c r="AB30" s="25"/>
    </row>
    <row r="31" spans="1:28" ht="14.4">
      <c r="A31" s="2">
        <v>29</v>
      </c>
      <c r="B31" s="15">
        <v>58</v>
      </c>
      <c r="C31" s="16">
        <v>56</v>
      </c>
      <c r="D31" s="16">
        <v>52</v>
      </c>
      <c r="E31" s="17">
        <v>54</v>
      </c>
      <c r="F31" s="18">
        <v>46118</v>
      </c>
      <c r="G31" s="19">
        <v>46148</v>
      </c>
      <c r="H31" s="19">
        <v>46179</v>
      </c>
      <c r="I31" s="20">
        <v>46148</v>
      </c>
      <c r="J31" s="15">
        <v>45</v>
      </c>
      <c r="K31" s="16">
        <v>50</v>
      </c>
      <c r="L31" s="16">
        <v>50</v>
      </c>
      <c r="M31" s="17">
        <v>20</v>
      </c>
      <c r="N31" s="15">
        <v>45</v>
      </c>
      <c r="O31" s="16">
        <v>40</v>
      </c>
      <c r="P31" s="16">
        <v>30</v>
      </c>
      <c r="Q31" s="17">
        <v>30</v>
      </c>
      <c r="R31" s="15">
        <v>60</v>
      </c>
      <c r="S31" s="16">
        <v>60</v>
      </c>
      <c r="T31" s="16">
        <v>40</v>
      </c>
      <c r="U31" s="17">
        <v>25</v>
      </c>
      <c r="AB31" s="24"/>
    </row>
    <row r="32" spans="1:28" ht="14.4">
      <c r="A32" s="23">
        <v>30</v>
      </c>
      <c r="B32" s="15">
        <v>115</v>
      </c>
      <c r="C32" s="16">
        <v>100</v>
      </c>
      <c r="D32" s="16">
        <v>103</v>
      </c>
      <c r="E32" s="17">
        <v>106</v>
      </c>
      <c r="F32" s="18">
        <v>46179</v>
      </c>
      <c r="G32" s="19">
        <v>46148</v>
      </c>
      <c r="H32" s="19">
        <v>46148</v>
      </c>
      <c r="I32" s="20">
        <v>46147</v>
      </c>
      <c r="J32" s="15">
        <v>60</v>
      </c>
      <c r="K32" s="16">
        <v>65</v>
      </c>
      <c r="L32" s="16">
        <v>70</v>
      </c>
      <c r="M32" s="17">
        <v>20</v>
      </c>
      <c r="N32" s="15">
        <v>60</v>
      </c>
      <c r="O32" s="16">
        <v>40</v>
      </c>
      <c r="P32" s="16">
        <v>65</v>
      </c>
      <c r="Q32" s="17">
        <v>0</v>
      </c>
      <c r="R32" s="15">
        <v>70</v>
      </c>
      <c r="S32" s="16">
        <v>65</v>
      </c>
      <c r="T32" s="16">
        <v>10</v>
      </c>
      <c r="U32" s="17">
        <v>25</v>
      </c>
      <c r="AB32" s="25"/>
    </row>
    <row r="33" spans="1:28" ht="14.4">
      <c r="A33" s="23">
        <v>31</v>
      </c>
      <c r="B33" s="15">
        <v>84</v>
      </c>
      <c r="C33" s="16">
        <v>89</v>
      </c>
      <c r="D33" s="16">
        <v>102</v>
      </c>
      <c r="E33" s="17">
        <v>94</v>
      </c>
      <c r="F33" s="18">
        <v>46179</v>
      </c>
      <c r="G33" s="19">
        <v>46117</v>
      </c>
      <c r="H33" s="19">
        <v>46179</v>
      </c>
      <c r="I33" s="20">
        <v>46117</v>
      </c>
      <c r="J33" s="15">
        <v>40</v>
      </c>
      <c r="K33" s="16">
        <v>50</v>
      </c>
      <c r="L33" s="16">
        <v>15</v>
      </c>
      <c r="M33" s="17">
        <v>20</v>
      </c>
      <c r="N33" s="15">
        <v>15</v>
      </c>
      <c r="O33" s="16">
        <v>25</v>
      </c>
      <c r="P33" s="16">
        <v>15</v>
      </c>
      <c r="Q33" s="17">
        <v>30</v>
      </c>
      <c r="R33" s="15">
        <v>65</v>
      </c>
      <c r="S33" s="16">
        <v>80</v>
      </c>
      <c r="T33" s="16">
        <v>25</v>
      </c>
      <c r="U33" s="17">
        <v>55</v>
      </c>
      <c r="AB33" s="25"/>
    </row>
    <row r="34" spans="1:28" ht="14.4">
      <c r="A34" s="23">
        <v>32</v>
      </c>
      <c r="B34" s="15">
        <v>162</v>
      </c>
      <c r="C34" s="16">
        <v>95</v>
      </c>
      <c r="D34" s="16">
        <v>189</v>
      </c>
      <c r="E34" s="17">
        <v>91</v>
      </c>
      <c r="F34" s="18">
        <v>46148</v>
      </c>
      <c r="G34" s="19">
        <v>46179</v>
      </c>
      <c r="H34" s="19">
        <v>46179</v>
      </c>
      <c r="I34" s="20">
        <v>46147</v>
      </c>
      <c r="J34" s="15">
        <v>40</v>
      </c>
      <c r="K34" s="16">
        <v>45</v>
      </c>
      <c r="L34" s="16">
        <v>30</v>
      </c>
      <c r="M34" s="17">
        <v>40</v>
      </c>
      <c r="N34" s="15">
        <v>40</v>
      </c>
      <c r="O34" s="16">
        <v>45</v>
      </c>
      <c r="P34" s="16">
        <v>90</v>
      </c>
      <c r="Q34" s="17">
        <v>65</v>
      </c>
      <c r="R34" s="15">
        <v>40</v>
      </c>
      <c r="S34" s="16">
        <v>45</v>
      </c>
      <c r="T34" s="16">
        <v>30</v>
      </c>
      <c r="U34" s="17">
        <v>35</v>
      </c>
      <c r="AB34" s="25"/>
    </row>
    <row r="35" spans="1:28" ht="14.4">
      <c r="A35" s="2">
        <v>33</v>
      </c>
      <c r="B35" s="15">
        <v>55</v>
      </c>
      <c r="C35" s="16">
        <v>52</v>
      </c>
      <c r="D35" s="16">
        <v>50</v>
      </c>
      <c r="E35" s="17">
        <v>49</v>
      </c>
      <c r="F35" s="18">
        <v>46179</v>
      </c>
      <c r="G35" s="19">
        <v>46118</v>
      </c>
      <c r="H35" s="19">
        <v>46179</v>
      </c>
      <c r="I35" s="20">
        <v>46179</v>
      </c>
      <c r="J35" s="15">
        <v>5</v>
      </c>
      <c r="K35" s="16">
        <v>10</v>
      </c>
      <c r="L35" s="16">
        <v>0</v>
      </c>
      <c r="M35" s="17">
        <v>0</v>
      </c>
      <c r="N35" s="15">
        <v>20</v>
      </c>
      <c r="O35" s="16">
        <v>45</v>
      </c>
      <c r="P35" s="16">
        <v>15</v>
      </c>
      <c r="Q35" s="17">
        <v>20</v>
      </c>
      <c r="R35" s="15">
        <v>65</v>
      </c>
      <c r="S35" s="16">
        <v>75</v>
      </c>
      <c r="T35" s="16">
        <v>45</v>
      </c>
      <c r="U35" s="17">
        <v>45</v>
      </c>
      <c r="AB35" s="25"/>
    </row>
    <row r="36" spans="1:28" ht="14.4">
      <c r="A36" s="23">
        <v>34</v>
      </c>
      <c r="B36" s="15">
        <v>111</v>
      </c>
      <c r="C36" s="16">
        <v>60</v>
      </c>
      <c r="D36" s="16">
        <v>73</v>
      </c>
      <c r="E36" s="17">
        <v>75</v>
      </c>
      <c r="F36" s="18">
        <v>46147</v>
      </c>
      <c r="G36" s="19">
        <v>46117</v>
      </c>
      <c r="H36" s="19">
        <v>46179</v>
      </c>
      <c r="I36" s="20">
        <v>46147</v>
      </c>
      <c r="J36" s="15">
        <v>60</v>
      </c>
      <c r="K36" s="16">
        <v>25</v>
      </c>
      <c r="L36" s="16">
        <v>30</v>
      </c>
      <c r="M36" s="17">
        <v>60</v>
      </c>
      <c r="N36" s="15">
        <v>30</v>
      </c>
      <c r="O36" s="16">
        <v>45</v>
      </c>
      <c r="P36" s="16">
        <v>25</v>
      </c>
      <c r="Q36" s="17">
        <v>35</v>
      </c>
      <c r="R36" s="15">
        <v>70</v>
      </c>
      <c r="S36" s="16">
        <v>55</v>
      </c>
      <c r="T36" s="16">
        <v>35</v>
      </c>
      <c r="U36" s="17">
        <v>75</v>
      </c>
      <c r="AB36" s="25"/>
    </row>
    <row r="37" spans="1:28" ht="14.4">
      <c r="A37" s="23">
        <v>35</v>
      </c>
      <c r="B37" s="15">
        <v>83</v>
      </c>
      <c r="C37" s="16">
        <v>69</v>
      </c>
      <c r="D37" s="16">
        <v>62</v>
      </c>
      <c r="E37" s="17">
        <v>61</v>
      </c>
      <c r="F37" s="18">
        <v>46147</v>
      </c>
      <c r="G37" s="19">
        <v>46118</v>
      </c>
      <c r="H37" s="19">
        <v>46179</v>
      </c>
      <c r="I37" s="20">
        <v>46147</v>
      </c>
      <c r="J37" s="15">
        <v>65</v>
      </c>
      <c r="K37" s="16">
        <v>65</v>
      </c>
      <c r="L37" s="16">
        <v>55</v>
      </c>
      <c r="M37" s="17">
        <v>65</v>
      </c>
      <c r="N37" s="15">
        <v>55</v>
      </c>
      <c r="O37" s="16">
        <v>60</v>
      </c>
      <c r="P37" s="16">
        <v>95</v>
      </c>
      <c r="Q37" s="17">
        <v>85</v>
      </c>
      <c r="R37" s="15">
        <v>70</v>
      </c>
      <c r="S37" s="16">
        <v>65</v>
      </c>
      <c r="T37" s="16">
        <v>65</v>
      </c>
      <c r="U37" s="17">
        <v>75</v>
      </c>
      <c r="AB37" s="25"/>
    </row>
    <row r="38" spans="1:28" ht="14.4">
      <c r="A38" s="23">
        <v>36</v>
      </c>
      <c r="B38" s="26">
        <v>82</v>
      </c>
      <c r="C38" s="27">
        <v>114</v>
      </c>
      <c r="D38" s="27">
        <v>84</v>
      </c>
      <c r="E38" s="28">
        <v>71</v>
      </c>
      <c r="F38" s="29">
        <v>46118</v>
      </c>
      <c r="G38" s="30">
        <v>46117</v>
      </c>
      <c r="H38" s="30">
        <v>46118</v>
      </c>
      <c r="I38" s="31">
        <v>46148</v>
      </c>
      <c r="J38" s="26">
        <v>0</v>
      </c>
      <c r="K38" s="27">
        <v>70</v>
      </c>
      <c r="L38" s="27">
        <v>0</v>
      </c>
      <c r="M38" s="28">
        <v>0</v>
      </c>
      <c r="N38" s="26">
        <v>100</v>
      </c>
      <c r="O38" s="27">
        <v>10</v>
      </c>
      <c r="P38" s="27">
        <v>80</v>
      </c>
      <c r="Q38" s="28">
        <v>100</v>
      </c>
      <c r="R38" s="26">
        <v>90</v>
      </c>
      <c r="S38" s="27">
        <v>50</v>
      </c>
      <c r="T38" s="27">
        <v>0</v>
      </c>
      <c r="U38" s="28">
        <v>60</v>
      </c>
      <c r="AB38" s="25"/>
    </row>
    <row r="39" spans="1:28" ht="14.4">
      <c r="A39" s="23">
        <v>37</v>
      </c>
      <c r="B39" s="15">
        <v>83</v>
      </c>
      <c r="C39" s="16">
        <v>100</v>
      </c>
      <c r="D39" s="16">
        <v>72</v>
      </c>
      <c r="E39" s="17">
        <v>80</v>
      </c>
      <c r="F39" s="18">
        <v>46148</v>
      </c>
      <c r="G39" s="19">
        <v>46147</v>
      </c>
      <c r="H39" s="19">
        <v>46147</v>
      </c>
      <c r="I39" s="20">
        <v>46148</v>
      </c>
      <c r="J39" s="15">
        <v>5</v>
      </c>
      <c r="K39" s="16">
        <v>10</v>
      </c>
      <c r="L39" s="16">
        <v>5</v>
      </c>
      <c r="M39" s="17">
        <v>5</v>
      </c>
      <c r="N39" s="15">
        <v>55</v>
      </c>
      <c r="O39" s="16">
        <v>55</v>
      </c>
      <c r="P39" s="16">
        <v>5</v>
      </c>
      <c r="Q39" s="17">
        <v>45</v>
      </c>
      <c r="R39" s="32">
        <v>60</v>
      </c>
      <c r="S39" s="16">
        <v>5</v>
      </c>
      <c r="T39" s="16">
        <v>40</v>
      </c>
      <c r="U39" s="17">
        <v>10</v>
      </c>
      <c r="AB39" s="25"/>
    </row>
    <row r="40" spans="1:28" ht="14.4">
      <c r="A40" s="23">
        <v>38</v>
      </c>
      <c r="B40" s="15">
        <v>64</v>
      </c>
      <c r="C40" s="16">
        <v>49</v>
      </c>
      <c r="D40" s="16">
        <v>54</v>
      </c>
      <c r="E40" s="17">
        <v>62</v>
      </c>
      <c r="F40" s="18">
        <v>46179</v>
      </c>
      <c r="G40" s="19">
        <v>46117</v>
      </c>
      <c r="H40" s="19">
        <v>46148</v>
      </c>
      <c r="I40" s="20">
        <v>46148</v>
      </c>
      <c r="J40" s="15">
        <v>40</v>
      </c>
      <c r="K40" s="16">
        <v>40</v>
      </c>
      <c r="L40" s="16">
        <v>25</v>
      </c>
      <c r="M40" s="17">
        <v>30</v>
      </c>
      <c r="N40" s="15">
        <v>30</v>
      </c>
      <c r="O40" s="16">
        <v>40</v>
      </c>
      <c r="P40" s="16">
        <v>20</v>
      </c>
      <c r="Q40" s="17">
        <v>20</v>
      </c>
      <c r="R40" s="32">
        <v>50</v>
      </c>
      <c r="S40" s="16">
        <v>55</v>
      </c>
      <c r="T40" s="16">
        <v>30</v>
      </c>
      <c r="U40" s="17">
        <v>40</v>
      </c>
      <c r="AB40" s="25"/>
    </row>
    <row r="41" spans="1:28" ht="14.4">
      <c r="A41" s="23">
        <v>39</v>
      </c>
      <c r="B41" s="15">
        <v>79</v>
      </c>
      <c r="C41" s="16">
        <v>81</v>
      </c>
      <c r="D41" s="16">
        <v>89</v>
      </c>
      <c r="E41" s="17">
        <v>75</v>
      </c>
      <c r="F41" s="18">
        <v>46179</v>
      </c>
      <c r="G41" s="19">
        <v>46149</v>
      </c>
      <c r="H41" s="19">
        <v>46118</v>
      </c>
      <c r="I41" s="20">
        <v>46147</v>
      </c>
      <c r="J41" s="15">
        <v>25</v>
      </c>
      <c r="K41" s="16">
        <v>35</v>
      </c>
      <c r="L41" s="16">
        <v>30</v>
      </c>
      <c r="M41" s="17">
        <v>20</v>
      </c>
      <c r="N41" s="15">
        <v>25</v>
      </c>
      <c r="O41" s="16">
        <v>40</v>
      </c>
      <c r="P41" s="16">
        <v>55</v>
      </c>
      <c r="Q41" s="17">
        <v>35</v>
      </c>
      <c r="R41" s="32">
        <v>30</v>
      </c>
      <c r="S41" s="16">
        <v>45</v>
      </c>
      <c r="T41" s="16">
        <v>60</v>
      </c>
      <c r="U41" s="17">
        <v>40</v>
      </c>
      <c r="AB41" s="24"/>
    </row>
    <row r="42" spans="1:28" ht="14.4">
      <c r="A42" s="23">
        <v>40</v>
      </c>
      <c r="B42" s="15">
        <v>59</v>
      </c>
      <c r="C42" s="16">
        <v>56</v>
      </c>
      <c r="D42" s="16">
        <v>55</v>
      </c>
      <c r="E42" s="17">
        <v>53</v>
      </c>
      <c r="F42" s="18">
        <v>46147</v>
      </c>
      <c r="G42" s="19">
        <v>46117</v>
      </c>
      <c r="H42" s="19">
        <v>46147</v>
      </c>
      <c r="I42" s="20">
        <v>46179</v>
      </c>
      <c r="J42" s="15">
        <v>20</v>
      </c>
      <c r="K42" s="16">
        <v>40</v>
      </c>
      <c r="L42" s="16">
        <v>30</v>
      </c>
      <c r="M42" s="17">
        <v>10</v>
      </c>
      <c r="N42" s="15">
        <v>20</v>
      </c>
      <c r="O42" s="16">
        <v>40</v>
      </c>
      <c r="P42" s="16">
        <v>30</v>
      </c>
      <c r="Q42" s="17">
        <v>20</v>
      </c>
      <c r="R42" s="32">
        <v>30</v>
      </c>
      <c r="S42" s="16">
        <v>40</v>
      </c>
      <c r="T42" s="16">
        <v>50</v>
      </c>
      <c r="U42" s="17">
        <v>20</v>
      </c>
      <c r="AB42" s="25"/>
    </row>
    <row r="43" spans="1:28" ht="14.4">
      <c r="A43" s="23">
        <v>41</v>
      </c>
      <c r="B43" s="15"/>
      <c r="C43" s="16"/>
      <c r="D43" s="16"/>
      <c r="E43" s="17"/>
      <c r="F43" s="33"/>
      <c r="G43" s="34"/>
      <c r="H43" s="34"/>
      <c r="I43" s="35"/>
      <c r="J43" s="15"/>
      <c r="K43" s="16"/>
      <c r="L43" s="16"/>
      <c r="M43" s="17"/>
      <c r="N43" s="15"/>
      <c r="O43" s="16"/>
      <c r="P43" s="16"/>
      <c r="Q43" s="17"/>
      <c r="R43" s="32"/>
      <c r="S43" s="16"/>
      <c r="T43" s="16"/>
      <c r="U43" s="17"/>
      <c r="AB43" s="25"/>
    </row>
    <row r="44" spans="1:28" ht="14.4">
      <c r="A44" s="23">
        <v>42</v>
      </c>
      <c r="B44" s="15"/>
      <c r="C44" s="16"/>
      <c r="D44" s="16"/>
      <c r="E44" s="17"/>
      <c r="F44" s="33"/>
      <c r="G44" s="34"/>
      <c r="H44" s="34"/>
      <c r="I44" s="35"/>
      <c r="J44" s="15"/>
      <c r="K44" s="16"/>
      <c r="L44" s="16"/>
      <c r="M44" s="17"/>
      <c r="N44" s="15"/>
      <c r="O44" s="16"/>
      <c r="P44" s="16"/>
      <c r="Q44" s="17"/>
      <c r="R44" s="32"/>
      <c r="S44" s="16"/>
      <c r="T44" s="16"/>
      <c r="U44" s="17"/>
      <c r="AB44" s="25"/>
    </row>
    <row r="45" spans="1:28" ht="14.4">
      <c r="A45" s="23">
        <v>43</v>
      </c>
      <c r="B45" s="15"/>
      <c r="C45" s="16"/>
      <c r="D45" s="16"/>
      <c r="E45" s="17"/>
      <c r="F45" s="33"/>
      <c r="G45" s="34"/>
      <c r="H45" s="34"/>
      <c r="I45" s="35"/>
      <c r="J45" s="15"/>
      <c r="K45" s="16"/>
      <c r="L45" s="16"/>
      <c r="M45" s="17"/>
      <c r="N45" s="15"/>
      <c r="O45" s="16"/>
      <c r="P45" s="16"/>
      <c r="Q45" s="17"/>
      <c r="R45" s="32"/>
      <c r="S45" s="16"/>
      <c r="T45" s="16"/>
      <c r="U45" s="17"/>
      <c r="AB45" s="25"/>
    </row>
    <row r="46" spans="1:28" ht="14.4">
      <c r="A46" s="23">
        <v>44</v>
      </c>
      <c r="B46" s="15"/>
      <c r="C46" s="16"/>
      <c r="D46" s="16"/>
      <c r="E46" s="17"/>
      <c r="F46" s="33"/>
      <c r="G46" s="34"/>
      <c r="H46" s="34"/>
      <c r="I46" s="35"/>
      <c r="J46" s="15"/>
      <c r="K46" s="16"/>
      <c r="L46" s="16"/>
      <c r="M46" s="17"/>
      <c r="N46" s="15"/>
      <c r="O46" s="16"/>
      <c r="P46" s="16"/>
      <c r="Q46" s="17"/>
      <c r="R46" s="32"/>
      <c r="S46" s="16"/>
      <c r="T46" s="16"/>
      <c r="U46" s="17"/>
      <c r="AB46" s="25"/>
    </row>
    <row r="47" spans="1:28" ht="14.4">
      <c r="A47" s="23">
        <v>45</v>
      </c>
      <c r="B47" s="15"/>
      <c r="C47" s="16"/>
      <c r="D47" s="16"/>
      <c r="E47" s="17"/>
      <c r="F47" s="33"/>
      <c r="G47" s="34"/>
      <c r="H47" s="34"/>
      <c r="I47" s="35"/>
      <c r="J47" s="15"/>
      <c r="K47" s="16"/>
      <c r="L47" s="16"/>
      <c r="M47" s="17"/>
      <c r="N47" s="15"/>
      <c r="O47" s="16"/>
      <c r="P47" s="16"/>
      <c r="Q47" s="17"/>
      <c r="R47" s="32"/>
      <c r="S47" s="16"/>
      <c r="T47" s="16"/>
      <c r="U47" s="17"/>
      <c r="AB47" s="25"/>
    </row>
    <row r="48" spans="1:28" ht="14.4">
      <c r="A48" s="23">
        <v>46</v>
      </c>
      <c r="B48" s="15"/>
      <c r="C48" s="16"/>
      <c r="D48" s="16"/>
      <c r="E48" s="17"/>
      <c r="F48" s="33"/>
      <c r="G48" s="34"/>
      <c r="H48" s="34"/>
      <c r="I48" s="35"/>
      <c r="J48" s="15"/>
      <c r="K48" s="16"/>
      <c r="L48" s="16"/>
      <c r="M48" s="17"/>
      <c r="N48" s="15"/>
      <c r="O48" s="16"/>
      <c r="P48" s="16"/>
      <c r="Q48" s="17"/>
      <c r="R48" s="32"/>
      <c r="S48" s="16"/>
      <c r="T48" s="16"/>
      <c r="U48" s="17"/>
      <c r="AB48" s="25"/>
    </row>
    <row r="49" spans="1:28" ht="14.4">
      <c r="A49" s="23">
        <v>47</v>
      </c>
      <c r="B49" s="15"/>
      <c r="C49" s="16"/>
      <c r="D49" s="16"/>
      <c r="E49" s="17"/>
      <c r="F49" s="33"/>
      <c r="G49" s="34"/>
      <c r="H49" s="34"/>
      <c r="I49" s="35"/>
      <c r="J49" s="15"/>
      <c r="K49" s="16"/>
      <c r="L49" s="16"/>
      <c r="M49" s="17"/>
      <c r="N49" s="15"/>
      <c r="O49" s="16"/>
      <c r="P49" s="16"/>
      <c r="Q49" s="17"/>
      <c r="R49" s="32"/>
      <c r="S49" s="16"/>
      <c r="T49" s="16"/>
      <c r="U49" s="17"/>
      <c r="AB49" s="25"/>
    </row>
    <row r="50" spans="1:28" ht="14.4">
      <c r="A50" s="23">
        <v>48</v>
      </c>
      <c r="B50" s="15"/>
      <c r="C50" s="16"/>
      <c r="D50" s="16"/>
      <c r="E50" s="17"/>
      <c r="F50" s="33"/>
      <c r="G50" s="34"/>
      <c r="H50" s="34"/>
      <c r="I50" s="35"/>
      <c r="J50" s="15"/>
      <c r="K50" s="16"/>
      <c r="L50" s="16"/>
      <c r="M50" s="17"/>
      <c r="N50" s="15"/>
      <c r="O50" s="16"/>
      <c r="P50" s="16"/>
      <c r="Q50" s="17"/>
      <c r="R50" s="32"/>
      <c r="S50" s="16"/>
      <c r="T50" s="16"/>
      <c r="U50" s="17"/>
      <c r="AB50" s="25"/>
    </row>
    <row r="51" spans="1:28" ht="14.4">
      <c r="A51" s="23">
        <v>49</v>
      </c>
      <c r="B51" s="15"/>
      <c r="C51" s="16"/>
      <c r="D51" s="16"/>
      <c r="E51" s="17"/>
      <c r="F51" s="33"/>
      <c r="G51" s="34"/>
      <c r="H51" s="34"/>
      <c r="I51" s="35"/>
      <c r="J51" s="15"/>
      <c r="K51" s="16"/>
      <c r="L51" s="16"/>
      <c r="M51" s="17"/>
      <c r="N51" s="15"/>
      <c r="O51" s="16"/>
      <c r="P51" s="16"/>
      <c r="Q51" s="17"/>
      <c r="R51" s="32"/>
      <c r="S51" s="16"/>
      <c r="T51" s="16"/>
      <c r="U51" s="17"/>
      <c r="AB51" s="24"/>
    </row>
    <row r="52" spans="1:28" ht="14.4">
      <c r="A52" s="23">
        <v>50</v>
      </c>
      <c r="B52" s="36"/>
      <c r="C52" s="37"/>
      <c r="D52" s="37"/>
      <c r="E52" s="38"/>
      <c r="F52" s="39"/>
      <c r="G52" s="40"/>
      <c r="H52" s="40"/>
      <c r="I52" s="41"/>
      <c r="J52" s="36"/>
      <c r="K52" s="37"/>
      <c r="L52" s="37"/>
      <c r="M52" s="38"/>
      <c r="N52" s="36"/>
      <c r="O52" s="37"/>
      <c r="P52" s="37"/>
      <c r="Q52" s="38"/>
      <c r="R52" s="42"/>
      <c r="S52" s="37"/>
      <c r="T52" s="37"/>
      <c r="U52" s="38"/>
      <c r="AB52" s="25"/>
    </row>
    <row r="53" spans="1:28" ht="15.6" thickTop="1" thickBot="1">
      <c r="A53" s="2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AB53" s="25"/>
    </row>
    <row r="54" spans="1:28" ht="15" thickTop="1">
      <c r="B54" s="48" t="s">
        <v>16</v>
      </c>
      <c r="C54" s="49"/>
      <c r="D54" s="49"/>
      <c r="E54" s="50"/>
      <c r="F54" s="48" t="s">
        <v>17</v>
      </c>
      <c r="G54" s="49"/>
      <c r="H54" s="49"/>
      <c r="I54" s="50"/>
      <c r="J54" s="48" t="s">
        <v>18</v>
      </c>
      <c r="K54" s="49"/>
      <c r="L54" s="49"/>
      <c r="M54" s="50"/>
      <c r="N54" s="48" t="s">
        <v>19</v>
      </c>
      <c r="O54" s="49"/>
      <c r="P54" s="49"/>
      <c r="Q54" s="50"/>
      <c r="R54" s="48" t="s">
        <v>20</v>
      </c>
      <c r="S54" s="49"/>
      <c r="T54" s="49"/>
      <c r="U54" s="50"/>
      <c r="AB54" s="25"/>
    </row>
    <row r="55" spans="1:28" ht="15.75" customHeight="1">
      <c r="A55" s="1" t="s">
        <v>0</v>
      </c>
      <c r="B55" s="9" t="s">
        <v>2</v>
      </c>
      <c r="C55" s="10" t="s">
        <v>3</v>
      </c>
      <c r="D55" s="10" t="s">
        <v>4</v>
      </c>
      <c r="E55" s="11" t="s">
        <v>5</v>
      </c>
      <c r="F55" s="9" t="s">
        <v>2</v>
      </c>
      <c r="G55" s="10" t="s">
        <v>3</v>
      </c>
      <c r="H55" s="10" t="s">
        <v>4</v>
      </c>
      <c r="I55" s="11" t="s">
        <v>5</v>
      </c>
      <c r="J55" s="9" t="s">
        <v>2</v>
      </c>
      <c r="K55" s="10" t="s">
        <v>3</v>
      </c>
      <c r="L55" s="10" t="s">
        <v>4</v>
      </c>
      <c r="M55" s="11" t="s">
        <v>5</v>
      </c>
      <c r="N55" s="9" t="s">
        <v>2</v>
      </c>
      <c r="O55" s="10" t="s">
        <v>3</v>
      </c>
      <c r="P55" s="10" t="s">
        <v>4</v>
      </c>
      <c r="Q55" s="11" t="s">
        <v>5</v>
      </c>
      <c r="R55" s="9" t="s">
        <v>2</v>
      </c>
      <c r="S55" s="10" t="s">
        <v>3</v>
      </c>
      <c r="T55" s="10" t="s">
        <v>4</v>
      </c>
      <c r="U55" s="11" t="s">
        <v>5</v>
      </c>
    </row>
    <row r="56" spans="1:28" ht="15.75" customHeight="1">
      <c r="A56" s="2">
        <v>1</v>
      </c>
      <c r="B56" s="15">
        <v>69</v>
      </c>
      <c r="C56" s="16">
        <v>56</v>
      </c>
      <c r="D56" s="16">
        <v>57</v>
      </c>
      <c r="E56" s="17">
        <v>56</v>
      </c>
      <c r="F56" s="47">
        <f>MONTH(F3)/DAY(F3)</f>
        <v>1</v>
      </c>
      <c r="G56" s="47">
        <f t="shared" ref="G56:I56" si="4">MONTH(G3)/DAY(G3)</f>
        <v>0.66666666666666663</v>
      </c>
      <c r="H56" s="47">
        <f t="shared" si="4"/>
        <v>1</v>
      </c>
      <c r="I56" s="47">
        <f t="shared" si="4"/>
        <v>0.8</v>
      </c>
      <c r="J56" s="15">
        <v>40</v>
      </c>
      <c r="K56" s="16">
        <v>50</v>
      </c>
      <c r="L56" s="16">
        <v>5</v>
      </c>
      <c r="M56" s="17">
        <v>35</v>
      </c>
      <c r="N56" s="15">
        <v>35</v>
      </c>
      <c r="O56" s="16">
        <v>45</v>
      </c>
      <c r="P56" s="16">
        <v>5</v>
      </c>
      <c r="Q56" s="17">
        <v>30</v>
      </c>
      <c r="R56" s="15">
        <v>30</v>
      </c>
      <c r="S56" s="16">
        <v>40</v>
      </c>
      <c r="T56" s="16">
        <v>15</v>
      </c>
      <c r="U56" s="17">
        <v>20</v>
      </c>
    </row>
    <row r="57" spans="1:28" ht="15.75" customHeight="1">
      <c r="A57" s="2">
        <v>2</v>
      </c>
      <c r="B57" s="15">
        <v>79</v>
      </c>
      <c r="C57" s="16">
        <v>76</v>
      </c>
      <c r="D57" s="16">
        <v>63</v>
      </c>
      <c r="E57" s="17">
        <v>54</v>
      </c>
      <c r="F57" s="47">
        <f t="shared" ref="F57:I95" si="5">MONTH(F4)/DAY(F4)</f>
        <v>1</v>
      </c>
      <c r="G57" s="47">
        <f t="shared" si="5"/>
        <v>1</v>
      </c>
      <c r="H57" s="47">
        <f t="shared" si="5"/>
        <v>0.83333333333333337</v>
      </c>
      <c r="I57" s="47">
        <f t="shared" si="5"/>
        <v>1</v>
      </c>
      <c r="J57" s="15">
        <v>0</v>
      </c>
      <c r="K57" s="16">
        <v>35</v>
      </c>
      <c r="L57" s="16">
        <v>25</v>
      </c>
      <c r="M57" s="17">
        <v>0</v>
      </c>
      <c r="N57" s="15">
        <v>20</v>
      </c>
      <c r="O57" s="16">
        <v>30</v>
      </c>
      <c r="P57" s="16">
        <v>35</v>
      </c>
      <c r="Q57" s="17">
        <v>5</v>
      </c>
      <c r="R57" s="15">
        <v>90</v>
      </c>
      <c r="S57" s="16">
        <v>90</v>
      </c>
      <c r="T57" s="16">
        <v>30</v>
      </c>
      <c r="U57" s="17">
        <v>35</v>
      </c>
    </row>
    <row r="58" spans="1:28" ht="15.75" customHeight="1">
      <c r="A58" s="2">
        <v>3</v>
      </c>
      <c r="B58" s="15">
        <v>87</v>
      </c>
      <c r="C58" s="16">
        <v>98</v>
      </c>
      <c r="D58" s="16">
        <v>73</v>
      </c>
      <c r="E58" s="17">
        <v>76</v>
      </c>
      <c r="F58" s="47">
        <f t="shared" si="5"/>
        <v>1</v>
      </c>
      <c r="G58" s="47">
        <f t="shared" si="5"/>
        <v>0.66666666666666663</v>
      </c>
      <c r="H58" s="47">
        <f t="shared" si="5"/>
        <v>0.66666666666666663</v>
      </c>
      <c r="I58" s="47">
        <f t="shared" si="5"/>
        <v>1</v>
      </c>
      <c r="J58" s="15">
        <v>25</v>
      </c>
      <c r="K58" s="16">
        <v>25</v>
      </c>
      <c r="L58" s="16">
        <v>10</v>
      </c>
      <c r="M58" s="17">
        <v>5</v>
      </c>
      <c r="N58" s="15">
        <v>35</v>
      </c>
      <c r="O58" s="16">
        <v>65</v>
      </c>
      <c r="P58" s="16">
        <v>45</v>
      </c>
      <c r="Q58" s="17">
        <v>30</v>
      </c>
      <c r="R58" s="15">
        <v>35</v>
      </c>
      <c r="S58" s="16">
        <v>30</v>
      </c>
      <c r="T58" s="16">
        <v>25</v>
      </c>
      <c r="U58" s="17">
        <v>15</v>
      </c>
    </row>
    <row r="59" spans="1:28" ht="15.75" customHeight="1">
      <c r="A59" s="2">
        <v>4</v>
      </c>
      <c r="B59" s="15">
        <v>103</v>
      </c>
      <c r="C59" s="16">
        <v>98</v>
      </c>
      <c r="D59" s="16">
        <v>80</v>
      </c>
      <c r="E59" s="17">
        <v>114</v>
      </c>
      <c r="F59" s="47">
        <f t="shared" si="5"/>
        <v>1</v>
      </c>
      <c r="G59" s="47">
        <f t="shared" si="5"/>
        <v>0.8</v>
      </c>
      <c r="H59" s="47">
        <f t="shared" si="5"/>
        <v>1</v>
      </c>
      <c r="I59" s="47">
        <f t="shared" si="5"/>
        <v>1</v>
      </c>
      <c r="J59" s="15">
        <v>15</v>
      </c>
      <c r="K59" s="16">
        <v>30</v>
      </c>
      <c r="L59" s="16">
        <v>0</v>
      </c>
      <c r="M59" s="17">
        <v>5</v>
      </c>
      <c r="N59" s="15">
        <v>55</v>
      </c>
      <c r="O59" s="16">
        <v>40</v>
      </c>
      <c r="P59" s="16">
        <v>80</v>
      </c>
      <c r="Q59" s="17">
        <v>45</v>
      </c>
      <c r="R59" s="15">
        <v>25</v>
      </c>
      <c r="S59" s="16">
        <v>30</v>
      </c>
      <c r="T59" s="16">
        <v>0</v>
      </c>
      <c r="U59" s="17">
        <v>10</v>
      </c>
    </row>
    <row r="60" spans="1:28" ht="15.75" customHeight="1">
      <c r="A60" s="2">
        <v>5</v>
      </c>
      <c r="B60" s="15">
        <v>75</v>
      </c>
      <c r="C60" s="16">
        <v>60</v>
      </c>
      <c r="D60" s="16">
        <v>51</v>
      </c>
      <c r="E60" s="17">
        <v>57</v>
      </c>
      <c r="F60" s="47">
        <v>0.83333333333333337</v>
      </c>
      <c r="G60" s="47">
        <v>0.8</v>
      </c>
      <c r="H60" s="47">
        <v>1</v>
      </c>
      <c r="I60" s="47">
        <v>0.66666666666666663</v>
      </c>
      <c r="J60" s="15">
        <v>15</v>
      </c>
      <c r="K60" s="16">
        <v>5</v>
      </c>
      <c r="L60" s="16">
        <v>0</v>
      </c>
      <c r="M60" s="17">
        <v>0</v>
      </c>
      <c r="N60" s="15">
        <v>50</v>
      </c>
      <c r="O60" s="16">
        <v>20</v>
      </c>
      <c r="P60" s="16">
        <v>5</v>
      </c>
      <c r="Q60" s="17">
        <v>25</v>
      </c>
      <c r="R60" s="15">
        <v>60</v>
      </c>
      <c r="S60" s="16">
        <v>35</v>
      </c>
      <c r="T60" s="16">
        <v>10</v>
      </c>
      <c r="U60" s="17">
        <v>25</v>
      </c>
    </row>
    <row r="61" spans="1:28" ht="15.75" customHeight="1">
      <c r="A61" s="2">
        <v>6</v>
      </c>
      <c r="B61" s="15">
        <v>63</v>
      </c>
      <c r="C61" s="16">
        <v>61</v>
      </c>
      <c r="D61" s="16">
        <v>45</v>
      </c>
      <c r="E61" s="17">
        <v>53</v>
      </c>
      <c r="F61" s="47">
        <f t="shared" si="5"/>
        <v>1</v>
      </c>
      <c r="G61" s="47">
        <f t="shared" si="5"/>
        <v>0.83333333333333337</v>
      </c>
      <c r="H61" s="47">
        <f t="shared" si="5"/>
        <v>1</v>
      </c>
      <c r="I61" s="47">
        <f t="shared" si="5"/>
        <v>1</v>
      </c>
      <c r="J61" s="15">
        <v>15</v>
      </c>
      <c r="K61" s="16">
        <v>15</v>
      </c>
      <c r="L61" s="16">
        <v>30</v>
      </c>
      <c r="M61" s="17">
        <v>65</v>
      </c>
      <c r="N61" s="15">
        <v>30</v>
      </c>
      <c r="O61" s="16">
        <v>75</v>
      </c>
      <c r="P61" s="16">
        <v>10</v>
      </c>
      <c r="Q61" s="17">
        <v>35</v>
      </c>
      <c r="R61" s="15">
        <v>75</v>
      </c>
      <c r="S61" s="16">
        <v>30</v>
      </c>
      <c r="T61" s="16">
        <v>65</v>
      </c>
      <c r="U61" s="17">
        <v>60</v>
      </c>
    </row>
    <row r="62" spans="1:28" ht="15.75" customHeight="1">
      <c r="A62" s="2">
        <v>7</v>
      </c>
      <c r="B62" s="15">
        <v>85</v>
      </c>
      <c r="C62" s="16">
        <v>69</v>
      </c>
      <c r="D62" s="16">
        <v>65</v>
      </c>
      <c r="E62" s="17">
        <v>63</v>
      </c>
      <c r="F62" s="47">
        <v>1</v>
      </c>
      <c r="G62" s="47">
        <v>0.66666666666666663</v>
      </c>
      <c r="H62" s="47">
        <v>0.83333333333333337</v>
      </c>
      <c r="I62" s="47">
        <v>1</v>
      </c>
      <c r="J62" s="15">
        <v>55</v>
      </c>
      <c r="K62" s="16">
        <v>75</v>
      </c>
      <c r="L62" s="16">
        <v>45</v>
      </c>
      <c r="M62" s="17">
        <v>20</v>
      </c>
      <c r="N62" s="15">
        <v>40</v>
      </c>
      <c r="O62" s="16">
        <v>30</v>
      </c>
      <c r="P62" s="16">
        <v>25</v>
      </c>
      <c r="Q62" s="17">
        <v>30</v>
      </c>
      <c r="R62" s="15">
        <v>70</v>
      </c>
      <c r="S62" s="16">
        <v>70</v>
      </c>
      <c r="T62" s="16">
        <v>30</v>
      </c>
      <c r="U62" s="17">
        <v>25</v>
      </c>
    </row>
    <row r="63" spans="1:28" ht="15.75" customHeight="1">
      <c r="A63" s="2">
        <v>8</v>
      </c>
      <c r="B63" s="15">
        <v>70</v>
      </c>
      <c r="C63" s="16">
        <v>79</v>
      </c>
      <c r="D63" s="16">
        <v>56</v>
      </c>
      <c r="E63" s="17">
        <v>59</v>
      </c>
      <c r="F63" s="47">
        <f t="shared" si="5"/>
        <v>1</v>
      </c>
      <c r="G63" s="47">
        <f t="shared" si="5"/>
        <v>1</v>
      </c>
      <c r="H63" s="47">
        <f t="shared" si="5"/>
        <v>1</v>
      </c>
      <c r="I63" s="47">
        <f t="shared" si="5"/>
        <v>1</v>
      </c>
      <c r="J63" s="15">
        <v>30</v>
      </c>
      <c r="K63" s="16">
        <v>70</v>
      </c>
      <c r="L63" s="16">
        <v>70</v>
      </c>
      <c r="M63" s="17">
        <v>20</v>
      </c>
      <c r="N63" s="15">
        <v>20</v>
      </c>
      <c r="O63" s="16">
        <v>20</v>
      </c>
      <c r="P63" s="16">
        <v>15</v>
      </c>
      <c r="Q63" s="17">
        <v>15</v>
      </c>
      <c r="R63" s="15">
        <v>60</v>
      </c>
      <c r="S63" s="16">
        <v>35</v>
      </c>
      <c r="T63" s="16">
        <v>80</v>
      </c>
      <c r="U63" s="17">
        <v>65</v>
      </c>
    </row>
    <row r="64" spans="1:28" ht="15.75" customHeight="1">
      <c r="A64" s="2">
        <v>9</v>
      </c>
      <c r="B64" s="15">
        <v>79</v>
      </c>
      <c r="C64" s="16">
        <v>71</v>
      </c>
      <c r="D64" s="16">
        <v>72</v>
      </c>
      <c r="E64" s="17">
        <v>67</v>
      </c>
      <c r="F64" s="47">
        <f t="shared" si="5"/>
        <v>1</v>
      </c>
      <c r="G64" s="47">
        <f t="shared" si="5"/>
        <v>0.83333333333333337</v>
      </c>
      <c r="H64" s="47">
        <f t="shared" si="5"/>
        <v>0.83333333333333337</v>
      </c>
      <c r="I64" s="47">
        <f t="shared" si="5"/>
        <v>0.83333333333333337</v>
      </c>
      <c r="J64" s="15">
        <v>40</v>
      </c>
      <c r="K64" s="16">
        <v>65</v>
      </c>
      <c r="L64" s="16">
        <v>25</v>
      </c>
      <c r="M64" s="17">
        <v>5</v>
      </c>
      <c r="N64" s="15">
        <v>0</v>
      </c>
      <c r="O64" s="16">
        <v>35</v>
      </c>
      <c r="P64" s="16">
        <v>20</v>
      </c>
      <c r="Q64" s="17">
        <v>15</v>
      </c>
      <c r="R64" s="15">
        <v>25</v>
      </c>
      <c r="S64" s="16">
        <v>75</v>
      </c>
      <c r="T64" s="16">
        <v>25</v>
      </c>
      <c r="U64" s="17">
        <v>15</v>
      </c>
    </row>
    <row r="65" spans="1:21" ht="15.75" customHeight="1">
      <c r="A65" s="2">
        <v>10</v>
      </c>
      <c r="B65" s="15">
        <v>110</v>
      </c>
      <c r="C65" s="16">
        <v>96</v>
      </c>
      <c r="D65" s="16">
        <v>92</v>
      </c>
      <c r="E65" s="17">
        <v>127</v>
      </c>
      <c r="F65" s="47">
        <f t="shared" si="5"/>
        <v>0.8</v>
      </c>
      <c r="G65" s="47">
        <f t="shared" si="5"/>
        <v>1</v>
      </c>
      <c r="H65" s="47">
        <f t="shared" si="5"/>
        <v>1</v>
      </c>
      <c r="I65" s="47">
        <f t="shared" si="5"/>
        <v>1</v>
      </c>
      <c r="J65" s="15">
        <v>30</v>
      </c>
      <c r="K65" s="16">
        <v>20</v>
      </c>
      <c r="L65" s="16">
        <v>15</v>
      </c>
      <c r="M65" s="17">
        <v>25</v>
      </c>
      <c r="N65" s="15">
        <v>60</v>
      </c>
      <c r="O65" s="16">
        <v>65</v>
      </c>
      <c r="P65" s="16">
        <v>70</v>
      </c>
      <c r="Q65" s="17">
        <v>60</v>
      </c>
      <c r="R65" s="15">
        <v>55</v>
      </c>
      <c r="S65" s="16">
        <v>35</v>
      </c>
      <c r="T65" s="16">
        <v>20</v>
      </c>
      <c r="U65" s="17">
        <v>30</v>
      </c>
    </row>
    <row r="66" spans="1:21" ht="15.75" customHeight="1">
      <c r="A66" s="2">
        <v>11</v>
      </c>
      <c r="B66" s="15">
        <v>90</v>
      </c>
      <c r="C66" s="16">
        <v>106</v>
      </c>
      <c r="D66" s="16">
        <v>90</v>
      </c>
      <c r="E66" s="17">
        <v>80</v>
      </c>
      <c r="F66" s="47">
        <f t="shared" si="5"/>
        <v>0.83333333333333337</v>
      </c>
      <c r="G66" s="47">
        <f t="shared" si="5"/>
        <v>0.83333333333333337</v>
      </c>
      <c r="H66" s="47">
        <f t="shared" si="5"/>
        <v>1</v>
      </c>
      <c r="I66" s="47">
        <f t="shared" si="5"/>
        <v>1</v>
      </c>
      <c r="J66" s="15">
        <v>55</v>
      </c>
      <c r="K66" s="16">
        <v>65</v>
      </c>
      <c r="L66" s="16">
        <v>80</v>
      </c>
      <c r="M66" s="17">
        <v>70</v>
      </c>
      <c r="N66" s="15">
        <v>45</v>
      </c>
      <c r="O66" s="16">
        <v>35</v>
      </c>
      <c r="P66" s="16">
        <v>70</v>
      </c>
      <c r="Q66" s="17">
        <v>65</v>
      </c>
      <c r="R66" s="15">
        <v>70</v>
      </c>
      <c r="S66" s="16">
        <v>80</v>
      </c>
      <c r="T66" s="16">
        <v>85</v>
      </c>
      <c r="U66" s="17">
        <v>60</v>
      </c>
    </row>
    <row r="67" spans="1:21" ht="15.75" customHeight="1">
      <c r="A67" s="2">
        <v>12</v>
      </c>
      <c r="B67" s="15">
        <v>62</v>
      </c>
      <c r="C67" s="16">
        <v>63</v>
      </c>
      <c r="D67" s="16">
        <v>92</v>
      </c>
      <c r="E67" s="17">
        <v>60</v>
      </c>
      <c r="F67" s="47">
        <f t="shared" si="5"/>
        <v>1</v>
      </c>
      <c r="G67" s="47">
        <f t="shared" si="5"/>
        <v>0.66666666666666663</v>
      </c>
      <c r="H67" s="47">
        <f t="shared" si="5"/>
        <v>1</v>
      </c>
      <c r="I67" s="47">
        <f t="shared" si="5"/>
        <v>1</v>
      </c>
      <c r="J67" s="15">
        <v>45</v>
      </c>
      <c r="K67" s="16">
        <v>50</v>
      </c>
      <c r="L67" s="16">
        <v>40</v>
      </c>
      <c r="M67" s="17">
        <v>45</v>
      </c>
      <c r="N67" s="15">
        <v>25</v>
      </c>
      <c r="O67" s="16">
        <v>60</v>
      </c>
      <c r="P67" s="16">
        <v>40</v>
      </c>
      <c r="Q67" s="17">
        <v>30</v>
      </c>
      <c r="R67" s="15">
        <v>85</v>
      </c>
      <c r="S67" s="16">
        <v>90</v>
      </c>
      <c r="T67" s="16">
        <v>35</v>
      </c>
      <c r="U67" s="17">
        <v>30</v>
      </c>
    </row>
    <row r="68" spans="1:21" ht="15.75" customHeight="1">
      <c r="A68" s="2">
        <v>13</v>
      </c>
      <c r="B68" s="15">
        <v>94</v>
      </c>
      <c r="C68" s="16">
        <v>84</v>
      </c>
      <c r="D68" s="16">
        <v>82</v>
      </c>
      <c r="E68" s="17">
        <v>78</v>
      </c>
      <c r="F68" s="47">
        <f t="shared" si="5"/>
        <v>1</v>
      </c>
      <c r="G68" s="47">
        <f t="shared" si="5"/>
        <v>0.8</v>
      </c>
      <c r="H68" s="47">
        <f t="shared" si="5"/>
        <v>1</v>
      </c>
      <c r="I68" s="47">
        <f t="shared" si="5"/>
        <v>0.83333333333333337</v>
      </c>
      <c r="J68" s="15">
        <v>25</v>
      </c>
      <c r="K68" s="16">
        <v>35</v>
      </c>
      <c r="L68" s="16">
        <v>50</v>
      </c>
      <c r="M68" s="17">
        <v>45</v>
      </c>
      <c r="N68" s="15">
        <v>45</v>
      </c>
      <c r="O68" s="16">
        <v>40</v>
      </c>
      <c r="P68" s="16">
        <v>40</v>
      </c>
      <c r="Q68" s="17">
        <v>45</v>
      </c>
      <c r="R68" s="15">
        <v>50</v>
      </c>
      <c r="S68" s="16">
        <v>50</v>
      </c>
      <c r="T68" s="16">
        <v>35</v>
      </c>
      <c r="U68" s="17">
        <v>45</v>
      </c>
    </row>
    <row r="69" spans="1:21" ht="15.75" customHeight="1">
      <c r="A69" s="2">
        <v>14</v>
      </c>
      <c r="B69" s="15">
        <v>48</v>
      </c>
      <c r="C69" s="16">
        <v>50</v>
      </c>
      <c r="D69" s="16">
        <v>47</v>
      </c>
      <c r="E69" s="17">
        <v>53</v>
      </c>
      <c r="F69" s="47">
        <f t="shared" si="5"/>
        <v>0.5</v>
      </c>
      <c r="G69" s="47">
        <f t="shared" si="5"/>
        <v>0.8</v>
      </c>
      <c r="H69" s="47">
        <f t="shared" si="5"/>
        <v>1</v>
      </c>
      <c r="I69" s="47">
        <f t="shared" si="5"/>
        <v>0.66666666666666663</v>
      </c>
      <c r="J69" s="15">
        <v>90</v>
      </c>
      <c r="K69" s="16">
        <v>5</v>
      </c>
      <c r="L69" s="16">
        <v>5</v>
      </c>
      <c r="M69" s="17">
        <v>75</v>
      </c>
      <c r="N69" s="15">
        <v>10</v>
      </c>
      <c r="O69" s="16">
        <v>90</v>
      </c>
      <c r="P69" s="16">
        <v>70</v>
      </c>
      <c r="Q69" s="17">
        <v>65</v>
      </c>
      <c r="R69" s="15">
        <v>85</v>
      </c>
      <c r="S69" s="16">
        <v>10</v>
      </c>
      <c r="T69" s="16">
        <v>15</v>
      </c>
      <c r="U69" s="17">
        <v>20</v>
      </c>
    </row>
    <row r="70" spans="1:21" ht="15.75" customHeight="1">
      <c r="A70" s="2">
        <v>15</v>
      </c>
      <c r="B70" s="15">
        <v>67</v>
      </c>
      <c r="C70" s="16">
        <v>62</v>
      </c>
      <c r="D70" s="16">
        <v>55</v>
      </c>
      <c r="E70" s="17">
        <v>70</v>
      </c>
      <c r="F70" s="47">
        <f t="shared" si="5"/>
        <v>0.83333333333333337</v>
      </c>
      <c r="G70" s="47">
        <f t="shared" si="5"/>
        <v>1</v>
      </c>
      <c r="H70" s="47">
        <f t="shared" si="5"/>
        <v>0.8</v>
      </c>
      <c r="I70" s="47">
        <f t="shared" si="5"/>
        <v>0.83333333333333337</v>
      </c>
      <c r="J70" s="15">
        <v>65</v>
      </c>
      <c r="K70" s="16">
        <v>20</v>
      </c>
      <c r="L70" s="16">
        <v>65</v>
      </c>
      <c r="M70" s="17">
        <v>45</v>
      </c>
      <c r="N70" s="15">
        <v>60</v>
      </c>
      <c r="O70" s="16">
        <v>40</v>
      </c>
      <c r="P70" s="16">
        <v>60</v>
      </c>
      <c r="Q70" s="17">
        <v>70</v>
      </c>
      <c r="R70" s="15">
        <v>40</v>
      </c>
      <c r="S70" s="16">
        <v>35</v>
      </c>
      <c r="T70" s="16">
        <v>35</v>
      </c>
      <c r="U70" s="17">
        <v>30</v>
      </c>
    </row>
    <row r="71" spans="1:21" ht="15.75" customHeight="1">
      <c r="A71" s="2">
        <v>16</v>
      </c>
      <c r="B71" s="15">
        <v>104</v>
      </c>
      <c r="C71" s="16">
        <v>82</v>
      </c>
      <c r="D71" s="16">
        <v>109</v>
      </c>
      <c r="E71" s="17">
        <v>94</v>
      </c>
      <c r="F71" s="47">
        <f t="shared" si="5"/>
        <v>1</v>
      </c>
      <c r="G71" s="47">
        <f t="shared" si="5"/>
        <v>1</v>
      </c>
      <c r="H71" s="47">
        <f t="shared" si="5"/>
        <v>0.83333333333333337</v>
      </c>
      <c r="I71" s="47">
        <f t="shared" si="5"/>
        <v>1</v>
      </c>
      <c r="J71" s="15">
        <v>100</v>
      </c>
      <c r="K71" s="16">
        <v>100</v>
      </c>
      <c r="L71" s="16">
        <v>100</v>
      </c>
      <c r="M71" s="17">
        <v>100</v>
      </c>
      <c r="N71" s="15">
        <v>75</v>
      </c>
      <c r="O71" s="16">
        <v>20</v>
      </c>
      <c r="P71" s="16">
        <v>35</v>
      </c>
      <c r="Q71" s="17">
        <v>85</v>
      </c>
      <c r="R71" s="15">
        <v>75</v>
      </c>
      <c r="S71" s="16">
        <v>90</v>
      </c>
      <c r="T71" s="16">
        <v>85</v>
      </c>
      <c r="U71" s="17">
        <v>65</v>
      </c>
    </row>
    <row r="72" spans="1:21" ht="15.75" customHeight="1">
      <c r="A72" s="2">
        <v>17</v>
      </c>
      <c r="B72" s="15">
        <v>80</v>
      </c>
      <c r="C72" s="16">
        <v>70</v>
      </c>
      <c r="D72" s="16">
        <v>62</v>
      </c>
      <c r="E72" s="17">
        <v>67</v>
      </c>
      <c r="F72" s="47">
        <f t="shared" si="5"/>
        <v>1</v>
      </c>
      <c r="G72" s="47">
        <f t="shared" si="5"/>
        <v>1</v>
      </c>
      <c r="H72" s="47">
        <f t="shared" si="5"/>
        <v>0.83333333333333337</v>
      </c>
      <c r="I72" s="47">
        <f t="shared" si="5"/>
        <v>0.83333333333333337</v>
      </c>
      <c r="J72" s="15">
        <v>20</v>
      </c>
      <c r="K72" s="16">
        <v>30</v>
      </c>
      <c r="L72" s="16">
        <v>25</v>
      </c>
      <c r="M72" s="17">
        <v>25</v>
      </c>
      <c r="N72" s="15">
        <v>35</v>
      </c>
      <c r="O72" s="16">
        <v>45</v>
      </c>
      <c r="P72" s="16">
        <v>65</v>
      </c>
      <c r="Q72" s="17">
        <v>65</v>
      </c>
      <c r="R72" s="15">
        <v>65</v>
      </c>
      <c r="S72" s="16">
        <v>55</v>
      </c>
      <c r="T72" s="16">
        <v>35</v>
      </c>
      <c r="U72" s="17">
        <v>60</v>
      </c>
    </row>
    <row r="73" spans="1:21" ht="15.75" customHeight="1">
      <c r="A73" s="2">
        <v>18</v>
      </c>
      <c r="B73" s="15">
        <v>67</v>
      </c>
      <c r="C73" s="16">
        <v>64</v>
      </c>
      <c r="D73" s="16">
        <v>54</v>
      </c>
      <c r="E73" s="17">
        <v>58</v>
      </c>
      <c r="F73" s="47">
        <f t="shared" si="5"/>
        <v>1</v>
      </c>
      <c r="G73" s="47">
        <f t="shared" si="5"/>
        <v>1</v>
      </c>
      <c r="H73" s="47">
        <f t="shared" si="5"/>
        <v>1</v>
      </c>
      <c r="I73" s="47">
        <f t="shared" si="5"/>
        <v>1</v>
      </c>
      <c r="J73" s="15">
        <v>65</v>
      </c>
      <c r="K73" s="16">
        <v>20</v>
      </c>
      <c r="L73" s="16">
        <v>35</v>
      </c>
      <c r="M73" s="17">
        <v>60</v>
      </c>
      <c r="N73" s="15">
        <v>60</v>
      </c>
      <c r="O73" s="16">
        <v>40</v>
      </c>
      <c r="P73" s="16">
        <v>30</v>
      </c>
      <c r="Q73" s="17">
        <v>45</v>
      </c>
      <c r="R73" s="15">
        <v>60</v>
      </c>
      <c r="S73" s="16">
        <v>30</v>
      </c>
      <c r="T73" s="16">
        <v>40</v>
      </c>
      <c r="U73" s="17">
        <v>40</v>
      </c>
    </row>
    <row r="74" spans="1:21" ht="15.75" customHeight="1">
      <c r="A74" s="2">
        <v>19</v>
      </c>
      <c r="B74" s="15">
        <v>77</v>
      </c>
      <c r="C74" s="16">
        <v>75</v>
      </c>
      <c r="D74" s="16">
        <v>70</v>
      </c>
      <c r="E74" s="17">
        <v>83</v>
      </c>
      <c r="F74" s="47">
        <f t="shared" si="5"/>
        <v>1</v>
      </c>
      <c r="G74" s="47">
        <f t="shared" si="5"/>
        <v>0.8</v>
      </c>
      <c r="H74" s="47">
        <f t="shared" si="5"/>
        <v>0.66666666666666663</v>
      </c>
      <c r="I74" s="47">
        <f t="shared" si="5"/>
        <v>1</v>
      </c>
      <c r="J74" s="15">
        <v>0</v>
      </c>
      <c r="K74" s="16">
        <v>0</v>
      </c>
      <c r="L74" s="16">
        <v>15</v>
      </c>
      <c r="M74" s="17">
        <v>0</v>
      </c>
      <c r="N74" s="15">
        <v>30</v>
      </c>
      <c r="O74" s="16">
        <v>30</v>
      </c>
      <c r="P74" s="16">
        <v>40</v>
      </c>
      <c r="Q74" s="17">
        <v>30</v>
      </c>
      <c r="R74" s="15">
        <v>30</v>
      </c>
      <c r="S74" s="16">
        <v>25</v>
      </c>
      <c r="T74" s="16">
        <v>30</v>
      </c>
      <c r="U74" s="17">
        <v>20</v>
      </c>
    </row>
    <row r="75" spans="1:21" ht="15.75" customHeight="1">
      <c r="A75" s="2">
        <v>20</v>
      </c>
      <c r="B75" s="15">
        <v>97</v>
      </c>
      <c r="C75" s="16">
        <v>91</v>
      </c>
      <c r="D75" s="16">
        <v>82</v>
      </c>
      <c r="E75" s="17">
        <v>108</v>
      </c>
      <c r="F75" s="47">
        <f t="shared" si="5"/>
        <v>1</v>
      </c>
      <c r="G75" s="47">
        <f t="shared" si="5"/>
        <v>1</v>
      </c>
      <c r="H75" s="47">
        <f t="shared" si="5"/>
        <v>0.5</v>
      </c>
      <c r="I75" s="47">
        <f t="shared" si="5"/>
        <v>0.83333333333333337</v>
      </c>
      <c r="J75" s="15">
        <v>25</v>
      </c>
      <c r="K75" s="16">
        <v>10</v>
      </c>
      <c r="L75" s="16">
        <v>80</v>
      </c>
      <c r="M75" s="17">
        <v>60</v>
      </c>
      <c r="N75" s="15">
        <v>30</v>
      </c>
      <c r="O75" s="16">
        <v>25</v>
      </c>
      <c r="P75" s="16">
        <v>40</v>
      </c>
      <c r="Q75" s="17">
        <v>50</v>
      </c>
      <c r="R75" s="15">
        <v>50</v>
      </c>
      <c r="S75" s="16">
        <v>30</v>
      </c>
      <c r="T75" s="16">
        <v>35</v>
      </c>
      <c r="U75" s="17">
        <v>30</v>
      </c>
    </row>
    <row r="76" spans="1:21" ht="15.75" customHeight="1">
      <c r="A76" s="2">
        <v>21</v>
      </c>
      <c r="B76" s="15">
        <v>47</v>
      </c>
      <c r="C76" s="16">
        <v>54</v>
      </c>
      <c r="D76" s="16">
        <v>37</v>
      </c>
      <c r="E76" s="17">
        <v>44</v>
      </c>
      <c r="F76" s="47">
        <f t="shared" si="5"/>
        <v>0.8</v>
      </c>
      <c r="G76" s="47">
        <f t="shared" si="5"/>
        <v>0.8</v>
      </c>
      <c r="H76" s="47">
        <f t="shared" si="5"/>
        <v>0.83333333333333337</v>
      </c>
      <c r="I76" s="47">
        <f t="shared" si="5"/>
        <v>0.83333333333333337</v>
      </c>
      <c r="J76" s="15">
        <v>20</v>
      </c>
      <c r="K76" s="16">
        <v>20</v>
      </c>
      <c r="L76" s="16">
        <v>10</v>
      </c>
      <c r="M76" s="17">
        <v>30</v>
      </c>
      <c r="N76" s="15">
        <v>60</v>
      </c>
      <c r="O76" s="16">
        <v>40</v>
      </c>
      <c r="P76" s="16">
        <v>80</v>
      </c>
      <c r="Q76" s="17">
        <v>60</v>
      </c>
      <c r="R76" s="15">
        <v>70</v>
      </c>
      <c r="S76" s="16">
        <v>70</v>
      </c>
      <c r="T76" s="16">
        <v>40</v>
      </c>
      <c r="U76" s="17">
        <v>30</v>
      </c>
    </row>
    <row r="77" spans="1:21" ht="15.75" customHeight="1">
      <c r="A77" s="23">
        <v>22</v>
      </c>
      <c r="B77" s="15">
        <v>75</v>
      </c>
      <c r="C77" s="16">
        <v>60</v>
      </c>
      <c r="D77" s="16">
        <v>75</v>
      </c>
      <c r="E77" s="17">
        <v>67</v>
      </c>
      <c r="F77" s="47">
        <f t="shared" si="5"/>
        <v>1</v>
      </c>
      <c r="G77" s="47">
        <f t="shared" si="5"/>
        <v>0.83333333333333337</v>
      </c>
      <c r="H77" s="47">
        <f t="shared" si="5"/>
        <v>0.66666666666666663</v>
      </c>
      <c r="I77" s="47">
        <f t="shared" si="5"/>
        <v>1</v>
      </c>
      <c r="J77" s="15">
        <v>5</v>
      </c>
      <c r="K77" s="16">
        <v>15</v>
      </c>
      <c r="L77" s="16">
        <v>50</v>
      </c>
      <c r="M77" s="17">
        <v>0</v>
      </c>
      <c r="N77" s="15">
        <v>20</v>
      </c>
      <c r="O77" s="16">
        <v>25</v>
      </c>
      <c r="P77" s="16">
        <v>40</v>
      </c>
      <c r="Q77" s="17">
        <v>20</v>
      </c>
      <c r="R77" s="15">
        <v>80</v>
      </c>
      <c r="S77" s="16">
        <v>75</v>
      </c>
      <c r="T77" s="16">
        <v>70</v>
      </c>
      <c r="U77" s="17">
        <v>75</v>
      </c>
    </row>
    <row r="78" spans="1:21" ht="15.75" customHeight="1">
      <c r="A78" s="23">
        <v>23</v>
      </c>
      <c r="B78" s="15">
        <v>50</v>
      </c>
      <c r="C78" s="16">
        <v>36</v>
      </c>
      <c r="D78" s="16">
        <v>37</v>
      </c>
      <c r="E78" s="17">
        <v>33</v>
      </c>
      <c r="F78" s="47">
        <f t="shared" si="5"/>
        <v>0.83333333333333337</v>
      </c>
      <c r="G78" s="47">
        <f t="shared" si="5"/>
        <v>0.8</v>
      </c>
      <c r="H78" s="47">
        <f t="shared" si="5"/>
        <v>0.66666666666666663</v>
      </c>
      <c r="I78" s="47">
        <f t="shared" si="5"/>
        <v>0.83333333333333337</v>
      </c>
      <c r="J78" s="15">
        <v>40</v>
      </c>
      <c r="K78" s="16">
        <v>35</v>
      </c>
      <c r="L78" s="16">
        <v>5</v>
      </c>
      <c r="M78" s="17">
        <v>0</v>
      </c>
      <c r="N78" s="15">
        <v>40</v>
      </c>
      <c r="O78" s="16">
        <v>70</v>
      </c>
      <c r="P78" s="16">
        <v>30</v>
      </c>
      <c r="Q78" s="17">
        <v>5</v>
      </c>
      <c r="R78" s="15">
        <v>40</v>
      </c>
      <c r="S78" s="16">
        <v>35</v>
      </c>
      <c r="T78" s="16">
        <v>20</v>
      </c>
      <c r="U78" s="17">
        <v>15</v>
      </c>
    </row>
    <row r="79" spans="1:21" ht="15.75" customHeight="1">
      <c r="A79" s="23">
        <v>24</v>
      </c>
      <c r="B79" s="15">
        <v>76</v>
      </c>
      <c r="C79" s="16">
        <v>79</v>
      </c>
      <c r="D79" s="16">
        <v>57</v>
      </c>
      <c r="E79" s="17">
        <v>55</v>
      </c>
      <c r="F79" s="47">
        <f t="shared" si="5"/>
        <v>1</v>
      </c>
      <c r="G79" s="47">
        <f t="shared" si="5"/>
        <v>1</v>
      </c>
      <c r="H79" s="47">
        <f t="shared" si="5"/>
        <v>0.83333333333333337</v>
      </c>
      <c r="I79" s="47">
        <f t="shared" si="5"/>
        <v>1</v>
      </c>
      <c r="J79" s="15">
        <v>60</v>
      </c>
      <c r="K79" s="16">
        <v>40</v>
      </c>
      <c r="L79" s="16">
        <v>50</v>
      </c>
      <c r="M79" s="17">
        <v>30</v>
      </c>
      <c r="N79" s="15">
        <v>15</v>
      </c>
      <c r="O79" s="16">
        <v>15</v>
      </c>
      <c r="P79" s="16">
        <v>25</v>
      </c>
      <c r="Q79" s="17">
        <v>10</v>
      </c>
      <c r="R79" s="15">
        <v>60</v>
      </c>
      <c r="S79" s="16">
        <v>50</v>
      </c>
      <c r="T79" s="16">
        <v>75</v>
      </c>
      <c r="U79" s="17">
        <v>40</v>
      </c>
    </row>
    <row r="80" spans="1:21" ht="15.75" customHeight="1">
      <c r="A80" s="2">
        <v>25</v>
      </c>
      <c r="B80" s="15">
        <v>97</v>
      </c>
      <c r="C80" s="16">
        <v>84</v>
      </c>
      <c r="D80" s="16">
        <v>94</v>
      </c>
      <c r="E80" s="17">
        <v>109</v>
      </c>
      <c r="F80" s="47">
        <f t="shared" si="5"/>
        <v>0.83333333333333337</v>
      </c>
      <c r="G80" s="47">
        <f t="shared" si="5"/>
        <v>0.83333333333333337</v>
      </c>
      <c r="H80" s="47">
        <f t="shared" si="5"/>
        <v>0.8</v>
      </c>
      <c r="I80" s="47">
        <f t="shared" si="5"/>
        <v>0.83333333333333337</v>
      </c>
      <c r="J80" s="15">
        <v>60</v>
      </c>
      <c r="K80" s="16">
        <v>45</v>
      </c>
      <c r="L80" s="16">
        <v>50</v>
      </c>
      <c r="M80" s="17">
        <v>50</v>
      </c>
      <c r="N80" s="15">
        <v>25</v>
      </c>
      <c r="O80" s="16">
        <v>30</v>
      </c>
      <c r="P80" s="16">
        <v>25</v>
      </c>
      <c r="Q80" s="17">
        <v>35</v>
      </c>
      <c r="R80" s="15">
        <v>65</v>
      </c>
      <c r="S80" s="16">
        <v>70</v>
      </c>
      <c r="T80" s="16">
        <v>60</v>
      </c>
      <c r="U80" s="17">
        <v>70</v>
      </c>
    </row>
    <row r="81" spans="1:21" ht="15.75" customHeight="1">
      <c r="A81" s="23">
        <v>26</v>
      </c>
      <c r="B81" s="15">
        <v>85</v>
      </c>
      <c r="C81" s="16">
        <v>72</v>
      </c>
      <c r="D81" s="16">
        <v>91</v>
      </c>
      <c r="E81" s="17">
        <v>107</v>
      </c>
      <c r="F81" s="47">
        <f t="shared" si="5"/>
        <v>1</v>
      </c>
      <c r="G81" s="47">
        <f t="shared" si="5"/>
        <v>1</v>
      </c>
      <c r="H81" s="47">
        <f t="shared" si="5"/>
        <v>1</v>
      </c>
      <c r="I81" s="47">
        <f t="shared" si="5"/>
        <v>0.8</v>
      </c>
      <c r="J81" s="15">
        <v>65</v>
      </c>
      <c r="K81" s="16">
        <v>50</v>
      </c>
      <c r="L81" s="16">
        <v>55</v>
      </c>
      <c r="M81" s="17">
        <v>50</v>
      </c>
      <c r="N81" s="15">
        <v>30</v>
      </c>
      <c r="O81" s="16">
        <v>15</v>
      </c>
      <c r="P81" s="16">
        <v>35</v>
      </c>
      <c r="Q81" s="17">
        <v>40</v>
      </c>
      <c r="R81" s="15">
        <v>65</v>
      </c>
      <c r="S81" s="16">
        <v>55</v>
      </c>
      <c r="T81" s="16">
        <v>65</v>
      </c>
      <c r="U81" s="17">
        <v>60</v>
      </c>
    </row>
    <row r="82" spans="1:21" ht="15.75" customHeight="1">
      <c r="A82" s="23">
        <v>27</v>
      </c>
      <c r="B82" s="15">
        <v>76</v>
      </c>
      <c r="C82" s="16">
        <v>87</v>
      </c>
      <c r="D82" s="16">
        <v>73</v>
      </c>
      <c r="E82" s="17">
        <v>83</v>
      </c>
      <c r="F82" s="47">
        <f t="shared" si="5"/>
        <v>1</v>
      </c>
      <c r="G82" s="47">
        <f t="shared" si="5"/>
        <v>1</v>
      </c>
      <c r="H82" s="47">
        <f t="shared" si="5"/>
        <v>0.83333333333333337</v>
      </c>
      <c r="I82" s="47">
        <f t="shared" si="5"/>
        <v>1</v>
      </c>
      <c r="J82" s="15">
        <v>30</v>
      </c>
      <c r="K82" s="16">
        <v>35</v>
      </c>
      <c r="L82" s="16">
        <v>35</v>
      </c>
      <c r="M82" s="17">
        <v>25</v>
      </c>
      <c r="N82" s="15">
        <v>20</v>
      </c>
      <c r="O82" s="16">
        <v>30</v>
      </c>
      <c r="P82" s="16">
        <v>30</v>
      </c>
      <c r="Q82" s="17">
        <v>15</v>
      </c>
      <c r="R82" s="15">
        <v>55</v>
      </c>
      <c r="S82" s="16">
        <v>60</v>
      </c>
      <c r="T82" s="16">
        <v>45</v>
      </c>
      <c r="U82" s="17">
        <v>50</v>
      </c>
    </row>
    <row r="83" spans="1:21" ht="15.75" customHeight="1">
      <c r="A83" s="23">
        <v>28</v>
      </c>
      <c r="B83" s="15">
        <v>94</v>
      </c>
      <c r="C83" s="16">
        <v>109</v>
      </c>
      <c r="D83" s="16">
        <v>86</v>
      </c>
      <c r="E83" s="17">
        <v>93</v>
      </c>
      <c r="F83" s="47">
        <f t="shared" si="5"/>
        <v>0.83333333333333337</v>
      </c>
      <c r="G83" s="47">
        <f t="shared" si="5"/>
        <v>1</v>
      </c>
      <c r="H83" s="47">
        <f t="shared" si="5"/>
        <v>1</v>
      </c>
      <c r="I83" s="47">
        <f t="shared" si="5"/>
        <v>1</v>
      </c>
      <c r="J83" s="15">
        <v>60</v>
      </c>
      <c r="K83" s="16">
        <v>60</v>
      </c>
      <c r="L83" s="16">
        <v>60</v>
      </c>
      <c r="M83" s="17">
        <v>60</v>
      </c>
      <c r="N83" s="15">
        <v>35</v>
      </c>
      <c r="O83" s="16">
        <v>45</v>
      </c>
      <c r="P83" s="16">
        <v>30</v>
      </c>
      <c r="Q83" s="17">
        <v>30</v>
      </c>
      <c r="R83" s="15">
        <v>60</v>
      </c>
      <c r="S83" s="16">
        <v>65</v>
      </c>
      <c r="T83" s="16">
        <v>55</v>
      </c>
      <c r="U83" s="17">
        <v>55</v>
      </c>
    </row>
    <row r="84" spans="1:21" ht="15.75" customHeight="1">
      <c r="A84" s="2">
        <v>29</v>
      </c>
      <c r="B84" s="15">
        <v>58</v>
      </c>
      <c r="C84" s="16">
        <v>56</v>
      </c>
      <c r="D84" s="16">
        <v>52</v>
      </c>
      <c r="E84" s="17">
        <v>54</v>
      </c>
      <c r="F84" s="47">
        <f t="shared" si="5"/>
        <v>0.66666666666666663</v>
      </c>
      <c r="G84" s="47">
        <f t="shared" si="5"/>
        <v>0.83333333333333337</v>
      </c>
      <c r="H84" s="47">
        <f t="shared" si="5"/>
        <v>1</v>
      </c>
      <c r="I84" s="47">
        <f t="shared" si="5"/>
        <v>0.83333333333333337</v>
      </c>
      <c r="J84" s="15">
        <v>45</v>
      </c>
      <c r="K84" s="16">
        <v>50</v>
      </c>
      <c r="L84" s="16">
        <v>50</v>
      </c>
      <c r="M84" s="17">
        <v>20</v>
      </c>
      <c r="N84" s="15">
        <v>45</v>
      </c>
      <c r="O84" s="16">
        <v>40</v>
      </c>
      <c r="P84" s="16">
        <v>30</v>
      </c>
      <c r="Q84" s="17">
        <v>30</v>
      </c>
      <c r="R84" s="15">
        <v>60</v>
      </c>
      <c r="S84" s="16">
        <v>60</v>
      </c>
      <c r="T84" s="16">
        <v>40</v>
      </c>
      <c r="U84" s="17">
        <v>25</v>
      </c>
    </row>
    <row r="85" spans="1:21" ht="15.75" customHeight="1">
      <c r="A85" s="23">
        <v>30</v>
      </c>
      <c r="B85" s="15">
        <v>115</v>
      </c>
      <c r="C85" s="16">
        <v>100</v>
      </c>
      <c r="D85" s="16">
        <v>103</v>
      </c>
      <c r="E85" s="17">
        <v>106</v>
      </c>
      <c r="F85" s="47">
        <f t="shared" si="5"/>
        <v>1</v>
      </c>
      <c r="G85" s="47">
        <f t="shared" si="5"/>
        <v>0.83333333333333337</v>
      </c>
      <c r="H85" s="47">
        <f t="shared" si="5"/>
        <v>0.83333333333333337</v>
      </c>
      <c r="I85" s="47">
        <f t="shared" si="5"/>
        <v>1</v>
      </c>
      <c r="J85" s="15">
        <v>60</v>
      </c>
      <c r="K85" s="16">
        <v>65</v>
      </c>
      <c r="L85" s="16">
        <v>70</v>
      </c>
      <c r="M85" s="17">
        <v>20</v>
      </c>
      <c r="N85" s="15">
        <v>60</v>
      </c>
      <c r="O85" s="16">
        <v>40</v>
      </c>
      <c r="P85" s="16">
        <v>65</v>
      </c>
      <c r="Q85" s="17">
        <v>0</v>
      </c>
      <c r="R85" s="15">
        <v>70</v>
      </c>
      <c r="S85" s="16">
        <v>65</v>
      </c>
      <c r="T85" s="16">
        <v>10</v>
      </c>
      <c r="U85" s="17">
        <v>25</v>
      </c>
    </row>
    <row r="86" spans="1:21" ht="15.75" customHeight="1">
      <c r="A86" s="23">
        <v>31</v>
      </c>
      <c r="B86" s="15">
        <v>84</v>
      </c>
      <c r="C86" s="16">
        <v>89</v>
      </c>
      <c r="D86" s="16">
        <v>102</v>
      </c>
      <c r="E86" s="17">
        <v>94</v>
      </c>
      <c r="F86" s="47">
        <f t="shared" si="5"/>
        <v>1</v>
      </c>
      <c r="G86" s="47">
        <f t="shared" si="5"/>
        <v>0.8</v>
      </c>
      <c r="H86" s="47">
        <f t="shared" si="5"/>
        <v>1</v>
      </c>
      <c r="I86" s="47">
        <f t="shared" si="5"/>
        <v>0.8</v>
      </c>
      <c r="J86" s="15">
        <v>40</v>
      </c>
      <c r="K86" s="16">
        <v>50</v>
      </c>
      <c r="L86" s="16">
        <v>15</v>
      </c>
      <c r="M86" s="17">
        <v>20</v>
      </c>
      <c r="N86" s="15">
        <v>15</v>
      </c>
      <c r="O86" s="16">
        <v>25</v>
      </c>
      <c r="P86" s="16">
        <v>15</v>
      </c>
      <c r="Q86" s="17">
        <v>30</v>
      </c>
      <c r="R86" s="15">
        <v>65</v>
      </c>
      <c r="S86" s="16">
        <v>80</v>
      </c>
      <c r="T86" s="16">
        <v>25</v>
      </c>
      <c r="U86" s="17">
        <v>55</v>
      </c>
    </row>
    <row r="87" spans="1:21" ht="15.75" customHeight="1">
      <c r="A87" s="23">
        <v>32</v>
      </c>
      <c r="B87" s="15">
        <v>162</v>
      </c>
      <c r="C87" s="16">
        <v>95</v>
      </c>
      <c r="D87" s="16">
        <v>189</v>
      </c>
      <c r="E87" s="17">
        <v>91</v>
      </c>
      <c r="F87" s="47">
        <f t="shared" si="5"/>
        <v>0.83333333333333337</v>
      </c>
      <c r="G87" s="47">
        <f t="shared" si="5"/>
        <v>1</v>
      </c>
      <c r="H87" s="47">
        <f t="shared" si="5"/>
        <v>1</v>
      </c>
      <c r="I87" s="47">
        <f t="shared" si="5"/>
        <v>1</v>
      </c>
      <c r="J87" s="15">
        <v>40</v>
      </c>
      <c r="K87" s="16">
        <v>45</v>
      </c>
      <c r="L87" s="16">
        <v>30</v>
      </c>
      <c r="M87" s="17">
        <v>40</v>
      </c>
      <c r="N87" s="15">
        <v>40</v>
      </c>
      <c r="O87" s="16">
        <v>45</v>
      </c>
      <c r="P87" s="16">
        <v>90</v>
      </c>
      <c r="Q87" s="17">
        <v>65</v>
      </c>
      <c r="R87" s="15">
        <v>40</v>
      </c>
      <c r="S87" s="16">
        <v>45</v>
      </c>
      <c r="T87" s="16">
        <v>30</v>
      </c>
      <c r="U87" s="17">
        <v>35</v>
      </c>
    </row>
    <row r="88" spans="1:21" ht="15.75" customHeight="1">
      <c r="A88" s="2">
        <v>33</v>
      </c>
      <c r="B88" s="15">
        <v>55</v>
      </c>
      <c r="C88" s="16">
        <v>52</v>
      </c>
      <c r="D88" s="16">
        <v>50</v>
      </c>
      <c r="E88" s="17">
        <v>49</v>
      </c>
      <c r="F88" s="47">
        <f t="shared" si="5"/>
        <v>1</v>
      </c>
      <c r="G88" s="47">
        <f t="shared" si="5"/>
        <v>0.66666666666666663</v>
      </c>
      <c r="H88" s="47">
        <f t="shared" si="5"/>
        <v>1</v>
      </c>
      <c r="I88" s="47">
        <f t="shared" si="5"/>
        <v>1</v>
      </c>
      <c r="J88" s="15">
        <v>5</v>
      </c>
      <c r="K88" s="16">
        <v>10</v>
      </c>
      <c r="L88" s="16">
        <v>0</v>
      </c>
      <c r="M88" s="17">
        <v>0</v>
      </c>
      <c r="N88" s="15">
        <v>20</v>
      </c>
      <c r="O88" s="16">
        <v>45</v>
      </c>
      <c r="P88" s="16">
        <v>15</v>
      </c>
      <c r="Q88" s="17">
        <v>20</v>
      </c>
      <c r="R88" s="15">
        <v>65</v>
      </c>
      <c r="S88" s="16">
        <v>75</v>
      </c>
      <c r="T88" s="16">
        <v>45</v>
      </c>
      <c r="U88" s="17">
        <v>45</v>
      </c>
    </row>
    <row r="89" spans="1:21" ht="15.75" customHeight="1">
      <c r="A89" s="23">
        <v>34</v>
      </c>
      <c r="B89" s="15">
        <v>111</v>
      </c>
      <c r="C89" s="16">
        <v>60</v>
      </c>
      <c r="D89" s="16">
        <v>73</v>
      </c>
      <c r="E89" s="17">
        <v>75</v>
      </c>
      <c r="F89" s="47">
        <f t="shared" si="5"/>
        <v>1</v>
      </c>
      <c r="G89" s="47">
        <f t="shared" si="5"/>
        <v>0.8</v>
      </c>
      <c r="H89" s="47">
        <f t="shared" si="5"/>
        <v>1</v>
      </c>
      <c r="I89" s="47">
        <f t="shared" si="5"/>
        <v>1</v>
      </c>
      <c r="J89" s="15">
        <v>60</v>
      </c>
      <c r="K89" s="16">
        <v>25</v>
      </c>
      <c r="L89" s="16">
        <v>30</v>
      </c>
      <c r="M89" s="17">
        <v>60</v>
      </c>
      <c r="N89" s="15">
        <v>30</v>
      </c>
      <c r="O89" s="16">
        <v>45</v>
      </c>
      <c r="P89" s="16">
        <v>25</v>
      </c>
      <c r="Q89" s="17">
        <v>35</v>
      </c>
      <c r="R89" s="15">
        <v>70</v>
      </c>
      <c r="S89" s="16">
        <v>55</v>
      </c>
      <c r="T89" s="16">
        <v>35</v>
      </c>
      <c r="U89" s="17">
        <v>75</v>
      </c>
    </row>
    <row r="90" spans="1:21" ht="15.75" customHeight="1">
      <c r="A90" s="23">
        <v>35</v>
      </c>
      <c r="B90" s="15">
        <v>83</v>
      </c>
      <c r="C90" s="16">
        <v>69</v>
      </c>
      <c r="D90" s="16">
        <v>62</v>
      </c>
      <c r="E90" s="17">
        <v>61</v>
      </c>
      <c r="F90" s="47">
        <f t="shared" si="5"/>
        <v>1</v>
      </c>
      <c r="G90" s="47">
        <f t="shared" si="5"/>
        <v>0.66666666666666663</v>
      </c>
      <c r="H90" s="47">
        <f t="shared" si="5"/>
        <v>1</v>
      </c>
      <c r="I90" s="47">
        <f t="shared" si="5"/>
        <v>1</v>
      </c>
      <c r="J90" s="15">
        <v>65</v>
      </c>
      <c r="K90" s="16">
        <v>65</v>
      </c>
      <c r="L90" s="16">
        <v>55</v>
      </c>
      <c r="M90" s="17">
        <v>65</v>
      </c>
      <c r="N90" s="15">
        <v>55</v>
      </c>
      <c r="O90" s="16">
        <v>60</v>
      </c>
      <c r="P90" s="16">
        <v>95</v>
      </c>
      <c r="Q90" s="17">
        <v>85</v>
      </c>
      <c r="R90" s="15">
        <v>70</v>
      </c>
      <c r="S90" s="16">
        <v>65</v>
      </c>
      <c r="T90" s="16">
        <v>65</v>
      </c>
      <c r="U90" s="17">
        <v>75</v>
      </c>
    </row>
    <row r="91" spans="1:21" ht="15.75" customHeight="1">
      <c r="A91" s="23">
        <v>36</v>
      </c>
      <c r="B91" s="26">
        <v>82</v>
      </c>
      <c r="C91" s="27">
        <v>114</v>
      </c>
      <c r="D91" s="27">
        <v>84</v>
      </c>
      <c r="E91" s="28">
        <v>71</v>
      </c>
      <c r="F91" s="47">
        <f t="shared" si="5"/>
        <v>0.66666666666666663</v>
      </c>
      <c r="G91" s="47">
        <f t="shared" si="5"/>
        <v>0.8</v>
      </c>
      <c r="H91" s="47">
        <f t="shared" si="5"/>
        <v>0.66666666666666663</v>
      </c>
      <c r="I91" s="47">
        <f t="shared" si="5"/>
        <v>0.83333333333333337</v>
      </c>
      <c r="J91" s="26">
        <v>0</v>
      </c>
      <c r="K91" s="27">
        <v>70</v>
      </c>
      <c r="L91" s="27">
        <v>0</v>
      </c>
      <c r="M91" s="28">
        <v>0</v>
      </c>
      <c r="N91" s="26">
        <v>100</v>
      </c>
      <c r="O91" s="27">
        <v>10</v>
      </c>
      <c r="P91" s="27">
        <v>80</v>
      </c>
      <c r="Q91" s="28">
        <v>100</v>
      </c>
      <c r="R91" s="26">
        <v>90</v>
      </c>
      <c r="S91" s="27">
        <v>50</v>
      </c>
      <c r="T91" s="27">
        <v>0</v>
      </c>
      <c r="U91" s="28">
        <v>60</v>
      </c>
    </row>
    <row r="92" spans="1:21" ht="15.75" customHeight="1">
      <c r="A92" s="23">
        <v>37</v>
      </c>
      <c r="B92" s="15">
        <v>83</v>
      </c>
      <c r="C92" s="16">
        <v>100</v>
      </c>
      <c r="D92" s="16">
        <v>72</v>
      </c>
      <c r="E92" s="17">
        <v>80</v>
      </c>
      <c r="F92" s="47">
        <f t="shared" si="5"/>
        <v>0.83333333333333337</v>
      </c>
      <c r="G92" s="47">
        <f t="shared" si="5"/>
        <v>1</v>
      </c>
      <c r="H92" s="47">
        <f t="shared" si="5"/>
        <v>1</v>
      </c>
      <c r="I92" s="47">
        <f t="shared" si="5"/>
        <v>0.83333333333333337</v>
      </c>
      <c r="J92" s="15">
        <v>5</v>
      </c>
      <c r="K92" s="16">
        <v>10</v>
      </c>
      <c r="L92" s="16">
        <v>5</v>
      </c>
      <c r="M92" s="17">
        <v>5</v>
      </c>
      <c r="N92" s="15">
        <v>55</v>
      </c>
      <c r="O92" s="16">
        <v>55</v>
      </c>
      <c r="P92" s="16">
        <v>5</v>
      </c>
      <c r="Q92" s="17">
        <v>45</v>
      </c>
      <c r="R92" s="32">
        <v>60</v>
      </c>
      <c r="S92" s="16">
        <v>5</v>
      </c>
      <c r="T92" s="16">
        <v>40</v>
      </c>
      <c r="U92" s="17">
        <v>10</v>
      </c>
    </row>
    <row r="93" spans="1:21" ht="15.75" customHeight="1">
      <c r="A93" s="23">
        <v>38</v>
      </c>
      <c r="B93" s="15">
        <v>64</v>
      </c>
      <c r="C93" s="16">
        <v>49</v>
      </c>
      <c r="D93" s="16">
        <v>54</v>
      </c>
      <c r="E93" s="17">
        <v>62</v>
      </c>
      <c r="F93" s="47">
        <f t="shared" si="5"/>
        <v>1</v>
      </c>
      <c r="G93" s="47">
        <f t="shared" si="5"/>
        <v>0.8</v>
      </c>
      <c r="H93" s="47">
        <f t="shared" si="5"/>
        <v>0.83333333333333337</v>
      </c>
      <c r="I93" s="47">
        <f t="shared" si="5"/>
        <v>0.83333333333333337</v>
      </c>
      <c r="J93" s="15">
        <v>40</v>
      </c>
      <c r="K93" s="16">
        <v>40</v>
      </c>
      <c r="L93" s="16">
        <v>25</v>
      </c>
      <c r="M93" s="17">
        <v>30</v>
      </c>
      <c r="N93" s="15">
        <v>30</v>
      </c>
      <c r="O93" s="16">
        <v>40</v>
      </c>
      <c r="P93" s="16">
        <v>20</v>
      </c>
      <c r="Q93" s="17">
        <v>20</v>
      </c>
      <c r="R93" s="32">
        <v>50</v>
      </c>
      <c r="S93" s="16">
        <v>55</v>
      </c>
      <c r="T93" s="16">
        <v>30</v>
      </c>
      <c r="U93" s="17">
        <v>40</v>
      </c>
    </row>
    <row r="94" spans="1:21" ht="15.75" customHeight="1">
      <c r="A94" s="23">
        <v>39</v>
      </c>
      <c r="B94" s="15">
        <v>79</v>
      </c>
      <c r="C94" s="16">
        <v>81</v>
      </c>
      <c r="D94" s="16">
        <v>89</v>
      </c>
      <c r="E94" s="17">
        <v>75</v>
      </c>
      <c r="F94" s="47">
        <f t="shared" si="5"/>
        <v>1</v>
      </c>
      <c r="G94" s="47">
        <f t="shared" si="5"/>
        <v>0.7142857142857143</v>
      </c>
      <c r="H94" s="47">
        <f t="shared" si="5"/>
        <v>0.66666666666666663</v>
      </c>
      <c r="I94" s="47">
        <f t="shared" si="5"/>
        <v>1</v>
      </c>
      <c r="J94" s="15">
        <v>25</v>
      </c>
      <c r="K94" s="16">
        <v>35</v>
      </c>
      <c r="L94" s="16">
        <v>30</v>
      </c>
      <c r="M94" s="17">
        <v>20</v>
      </c>
      <c r="N94" s="15">
        <v>25</v>
      </c>
      <c r="O94" s="16">
        <v>40</v>
      </c>
      <c r="P94" s="16">
        <v>55</v>
      </c>
      <c r="Q94" s="17">
        <v>35</v>
      </c>
      <c r="R94" s="32">
        <v>30</v>
      </c>
      <c r="S94" s="16">
        <v>45</v>
      </c>
      <c r="T94" s="16">
        <v>60</v>
      </c>
      <c r="U94" s="17">
        <v>40</v>
      </c>
    </row>
    <row r="95" spans="1:21" ht="15.75" customHeight="1">
      <c r="A95" s="23">
        <v>40</v>
      </c>
      <c r="B95" s="15">
        <v>59</v>
      </c>
      <c r="C95" s="16">
        <v>56</v>
      </c>
      <c r="D95" s="16">
        <v>55</v>
      </c>
      <c r="E95" s="17">
        <v>53</v>
      </c>
      <c r="F95" s="47">
        <f t="shared" si="5"/>
        <v>1</v>
      </c>
      <c r="G95" s="47">
        <f t="shared" si="5"/>
        <v>0.8</v>
      </c>
      <c r="H95" s="47">
        <f t="shared" si="5"/>
        <v>1</v>
      </c>
      <c r="I95" s="47">
        <f t="shared" si="5"/>
        <v>1</v>
      </c>
      <c r="J95" s="15">
        <v>20</v>
      </c>
      <c r="K95" s="16">
        <v>40</v>
      </c>
      <c r="L95" s="16">
        <v>30</v>
      </c>
      <c r="M95" s="17">
        <v>10</v>
      </c>
      <c r="N95" s="15">
        <v>20</v>
      </c>
      <c r="O95" s="16">
        <v>40</v>
      </c>
      <c r="P95" s="16">
        <v>30</v>
      </c>
      <c r="Q95" s="17">
        <v>20</v>
      </c>
      <c r="R95" s="32">
        <v>30</v>
      </c>
      <c r="S95" s="16">
        <v>40</v>
      </c>
      <c r="T95" s="16">
        <v>50</v>
      </c>
      <c r="U95" s="17">
        <v>20</v>
      </c>
    </row>
  </sheetData>
  <mergeCells count="15">
    <mergeCell ref="AF1:AI1"/>
    <mergeCell ref="AJ1:AM1"/>
    <mergeCell ref="AN1:AQ1"/>
    <mergeCell ref="B1:E1"/>
    <mergeCell ref="F1:I1"/>
    <mergeCell ref="J1:M1"/>
    <mergeCell ref="N1:Q1"/>
    <mergeCell ref="R1:U1"/>
    <mergeCell ref="X1:AA1"/>
    <mergeCell ref="AB1:AE1"/>
    <mergeCell ref="B54:E54"/>
    <mergeCell ref="F54:I54"/>
    <mergeCell ref="J54:M54"/>
    <mergeCell ref="N54:Q54"/>
    <mergeCell ref="R54:U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58F3-15FC-4E53-AA85-6FEAB197543B}">
  <dimension ref="A1:U42"/>
  <sheetViews>
    <sheetView tabSelected="1" topLeftCell="A16" workbookViewId="0">
      <selection activeCell="H15" sqref="H15"/>
    </sheetView>
  </sheetViews>
  <sheetFormatPr defaultRowHeight="13.2"/>
  <sheetData>
    <row r="1" spans="1:21">
      <c r="B1" t="s">
        <v>16</v>
      </c>
      <c r="F1" t="s">
        <v>17</v>
      </c>
      <c r="J1" t="s">
        <v>18</v>
      </c>
      <c r="N1" t="s">
        <v>19</v>
      </c>
      <c r="R1" t="s">
        <v>20</v>
      </c>
    </row>
    <row r="2" spans="1:21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2</v>
      </c>
      <c r="G2" t="s">
        <v>3</v>
      </c>
      <c r="H2" t="s">
        <v>4</v>
      </c>
      <c r="I2" t="s">
        <v>5</v>
      </c>
      <c r="J2" t="s">
        <v>2</v>
      </c>
      <c r="K2" t="s">
        <v>3</v>
      </c>
      <c r="L2" t="s">
        <v>4</v>
      </c>
      <c r="M2" t="s">
        <v>5</v>
      </c>
      <c r="N2" t="s">
        <v>2</v>
      </c>
      <c r="O2" t="s">
        <v>3</v>
      </c>
      <c r="P2" t="s">
        <v>4</v>
      </c>
      <c r="Q2" t="s">
        <v>5</v>
      </c>
      <c r="R2" t="s">
        <v>2</v>
      </c>
      <c r="S2" t="s">
        <v>3</v>
      </c>
      <c r="T2" t="s">
        <v>4</v>
      </c>
      <c r="U2" t="s">
        <v>5</v>
      </c>
    </row>
    <row r="3" spans="1:21">
      <c r="A3">
        <v>1</v>
      </c>
      <c r="B3">
        <v>69</v>
      </c>
      <c r="C3">
        <v>56</v>
      </c>
      <c r="D3">
        <v>57</v>
      </c>
      <c r="E3">
        <v>56</v>
      </c>
      <c r="F3">
        <v>1</v>
      </c>
      <c r="G3">
        <v>0.66666666666666663</v>
      </c>
      <c r="H3">
        <v>1</v>
      </c>
      <c r="I3">
        <v>0.8</v>
      </c>
      <c r="J3">
        <v>40</v>
      </c>
      <c r="K3">
        <v>50</v>
      </c>
      <c r="L3">
        <v>5</v>
      </c>
      <c r="M3">
        <v>35</v>
      </c>
      <c r="N3">
        <v>35</v>
      </c>
      <c r="O3">
        <v>45</v>
      </c>
      <c r="P3">
        <v>5</v>
      </c>
      <c r="Q3">
        <v>30</v>
      </c>
      <c r="R3">
        <v>30</v>
      </c>
      <c r="S3">
        <v>40</v>
      </c>
      <c r="T3">
        <v>15</v>
      </c>
      <c r="U3">
        <v>20</v>
      </c>
    </row>
    <row r="4" spans="1:21">
      <c r="A4">
        <v>2</v>
      </c>
      <c r="B4">
        <v>79</v>
      </c>
      <c r="C4">
        <v>76</v>
      </c>
      <c r="D4">
        <v>63</v>
      </c>
      <c r="E4">
        <v>54</v>
      </c>
      <c r="F4">
        <v>1</v>
      </c>
      <c r="G4">
        <v>1</v>
      </c>
      <c r="H4">
        <v>0.83333333333333337</v>
      </c>
      <c r="I4">
        <v>1</v>
      </c>
      <c r="J4">
        <v>0</v>
      </c>
      <c r="K4">
        <v>35</v>
      </c>
      <c r="L4">
        <v>25</v>
      </c>
      <c r="M4">
        <v>0</v>
      </c>
      <c r="N4">
        <v>20</v>
      </c>
      <c r="O4">
        <v>30</v>
      </c>
      <c r="P4">
        <v>35</v>
      </c>
      <c r="Q4">
        <v>5</v>
      </c>
      <c r="R4">
        <v>90</v>
      </c>
      <c r="S4">
        <v>90</v>
      </c>
      <c r="T4">
        <v>30</v>
      </c>
      <c r="U4">
        <v>35</v>
      </c>
    </row>
    <row r="5" spans="1:21">
      <c r="A5">
        <v>3</v>
      </c>
      <c r="B5">
        <v>87</v>
      </c>
      <c r="C5">
        <v>98</v>
      </c>
      <c r="D5">
        <v>73</v>
      </c>
      <c r="E5">
        <v>76</v>
      </c>
      <c r="F5">
        <v>1</v>
      </c>
      <c r="G5">
        <v>0.66666666666666663</v>
      </c>
      <c r="H5">
        <v>0.66666666666666663</v>
      </c>
      <c r="I5">
        <v>1</v>
      </c>
      <c r="J5">
        <v>25</v>
      </c>
      <c r="K5">
        <v>25</v>
      </c>
      <c r="L5">
        <v>10</v>
      </c>
      <c r="M5">
        <v>5</v>
      </c>
      <c r="N5">
        <v>35</v>
      </c>
      <c r="O5">
        <v>65</v>
      </c>
      <c r="P5">
        <v>45</v>
      </c>
      <c r="Q5">
        <v>30</v>
      </c>
      <c r="R5">
        <v>35</v>
      </c>
      <c r="S5">
        <v>30</v>
      </c>
      <c r="T5">
        <v>25</v>
      </c>
      <c r="U5">
        <v>15</v>
      </c>
    </row>
    <row r="6" spans="1:21">
      <c r="A6">
        <v>4</v>
      </c>
      <c r="B6">
        <v>103</v>
      </c>
      <c r="C6">
        <v>98</v>
      </c>
      <c r="D6">
        <v>80</v>
      </c>
      <c r="E6">
        <v>114</v>
      </c>
      <c r="F6">
        <v>1</v>
      </c>
      <c r="G6">
        <v>0.8</v>
      </c>
      <c r="H6">
        <v>1</v>
      </c>
      <c r="I6">
        <v>1</v>
      </c>
      <c r="J6">
        <v>15</v>
      </c>
      <c r="K6">
        <v>30</v>
      </c>
      <c r="L6">
        <v>0</v>
      </c>
      <c r="M6">
        <v>5</v>
      </c>
      <c r="N6">
        <v>55</v>
      </c>
      <c r="O6">
        <v>40</v>
      </c>
      <c r="P6">
        <v>80</v>
      </c>
      <c r="Q6">
        <v>45</v>
      </c>
      <c r="R6">
        <v>25</v>
      </c>
      <c r="S6">
        <v>30</v>
      </c>
      <c r="T6">
        <v>0</v>
      </c>
      <c r="U6">
        <v>10</v>
      </c>
    </row>
    <row r="7" spans="1:21">
      <c r="A7">
        <v>5</v>
      </c>
      <c r="B7">
        <v>75</v>
      </c>
      <c r="C7">
        <v>60</v>
      </c>
      <c r="D7">
        <v>51</v>
      </c>
      <c r="E7">
        <v>57</v>
      </c>
      <c r="F7">
        <v>0.83333333333333337</v>
      </c>
      <c r="G7">
        <v>0.8</v>
      </c>
      <c r="H7">
        <v>1</v>
      </c>
      <c r="I7">
        <v>0.66666666666666663</v>
      </c>
      <c r="J7">
        <v>15</v>
      </c>
      <c r="K7">
        <v>5</v>
      </c>
      <c r="L7">
        <v>0</v>
      </c>
      <c r="M7">
        <v>0</v>
      </c>
      <c r="N7">
        <v>50</v>
      </c>
      <c r="O7">
        <v>20</v>
      </c>
      <c r="P7">
        <v>5</v>
      </c>
      <c r="Q7">
        <v>25</v>
      </c>
      <c r="R7">
        <v>60</v>
      </c>
      <c r="S7">
        <v>35</v>
      </c>
      <c r="T7">
        <v>10</v>
      </c>
      <c r="U7">
        <v>25</v>
      </c>
    </row>
    <row r="8" spans="1:21">
      <c r="A8">
        <v>6</v>
      </c>
      <c r="B8">
        <v>63</v>
      </c>
      <c r="C8">
        <v>61</v>
      </c>
      <c r="D8">
        <v>45</v>
      </c>
      <c r="E8">
        <v>53</v>
      </c>
      <c r="F8">
        <v>1</v>
      </c>
      <c r="G8">
        <v>0.83333333333333337</v>
      </c>
      <c r="H8">
        <v>1</v>
      </c>
      <c r="I8">
        <v>1</v>
      </c>
      <c r="J8">
        <v>15</v>
      </c>
      <c r="K8">
        <v>15</v>
      </c>
      <c r="L8">
        <v>30</v>
      </c>
      <c r="M8">
        <v>65</v>
      </c>
      <c r="N8">
        <v>30</v>
      </c>
      <c r="O8">
        <v>75</v>
      </c>
      <c r="P8">
        <v>10</v>
      </c>
      <c r="Q8">
        <v>35</v>
      </c>
      <c r="R8">
        <v>75</v>
      </c>
      <c r="S8">
        <v>30</v>
      </c>
      <c r="T8">
        <v>65</v>
      </c>
      <c r="U8">
        <v>60</v>
      </c>
    </row>
    <row r="9" spans="1:21">
      <c r="A9">
        <v>7</v>
      </c>
      <c r="B9">
        <v>85</v>
      </c>
      <c r="C9">
        <v>69</v>
      </c>
      <c r="D9">
        <v>65</v>
      </c>
      <c r="E9">
        <v>63</v>
      </c>
      <c r="F9">
        <v>1</v>
      </c>
      <c r="G9">
        <v>0.66666666666666663</v>
      </c>
      <c r="H9">
        <v>0.83333333333333337</v>
      </c>
      <c r="I9">
        <v>1</v>
      </c>
      <c r="J9">
        <v>55</v>
      </c>
      <c r="K9">
        <v>75</v>
      </c>
      <c r="L9">
        <v>45</v>
      </c>
      <c r="M9">
        <v>20</v>
      </c>
      <c r="N9">
        <v>40</v>
      </c>
      <c r="O9">
        <v>30</v>
      </c>
      <c r="P9">
        <v>25</v>
      </c>
      <c r="Q9">
        <v>30</v>
      </c>
      <c r="R9">
        <v>70</v>
      </c>
      <c r="S9">
        <v>70</v>
      </c>
      <c r="T9">
        <v>30</v>
      </c>
      <c r="U9">
        <v>25</v>
      </c>
    </row>
    <row r="10" spans="1:21">
      <c r="A10">
        <v>8</v>
      </c>
      <c r="B10">
        <v>70</v>
      </c>
      <c r="C10">
        <v>79</v>
      </c>
      <c r="D10">
        <v>56</v>
      </c>
      <c r="E10">
        <v>59</v>
      </c>
      <c r="F10">
        <v>1</v>
      </c>
      <c r="G10">
        <v>1</v>
      </c>
      <c r="H10">
        <v>1</v>
      </c>
      <c r="I10">
        <v>1</v>
      </c>
      <c r="J10">
        <v>30</v>
      </c>
      <c r="K10">
        <v>70</v>
      </c>
      <c r="L10">
        <v>70</v>
      </c>
      <c r="M10">
        <v>20</v>
      </c>
      <c r="N10">
        <v>20</v>
      </c>
      <c r="O10">
        <v>20</v>
      </c>
      <c r="P10">
        <v>15</v>
      </c>
      <c r="Q10">
        <v>15</v>
      </c>
      <c r="R10">
        <v>60</v>
      </c>
      <c r="S10">
        <v>35</v>
      </c>
      <c r="T10">
        <v>80</v>
      </c>
      <c r="U10">
        <v>65</v>
      </c>
    </row>
    <row r="11" spans="1:21">
      <c r="A11">
        <v>9</v>
      </c>
      <c r="B11">
        <v>79</v>
      </c>
      <c r="C11">
        <v>71</v>
      </c>
      <c r="D11">
        <v>72</v>
      </c>
      <c r="E11">
        <v>67</v>
      </c>
      <c r="F11">
        <v>1</v>
      </c>
      <c r="G11">
        <v>0.83333333333333337</v>
      </c>
      <c r="H11">
        <v>0.83333333333333337</v>
      </c>
      <c r="I11">
        <v>0.83333333333333337</v>
      </c>
      <c r="J11">
        <v>40</v>
      </c>
      <c r="K11">
        <v>65</v>
      </c>
      <c r="L11">
        <v>25</v>
      </c>
      <c r="M11">
        <v>5</v>
      </c>
      <c r="N11">
        <v>0</v>
      </c>
      <c r="O11">
        <v>35</v>
      </c>
      <c r="P11">
        <v>20</v>
      </c>
      <c r="Q11">
        <v>15</v>
      </c>
      <c r="R11">
        <v>25</v>
      </c>
      <c r="S11">
        <v>75</v>
      </c>
      <c r="T11">
        <v>25</v>
      </c>
      <c r="U11">
        <v>15</v>
      </c>
    </row>
    <row r="12" spans="1:21">
      <c r="A12">
        <v>10</v>
      </c>
      <c r="B12">
        <v>110</v>
      </c>
      <c r="C12">
        <v>96</v>
      </c>
      <c r="D12">
        <v>92</v>
      </c>
      <c r="E12">
        <v>127</v>
      </c>
      <c r="F12">
        <v>0.8</v>
      </c>
      <c r="G12">
        <v>1</v>
      </c>
      <c r="H12">
        <v>1</v>
      </c>
      <c r="I12">
        <v>1</v>
      </c>
      <c r="J12">
        <v>30</v>
      </c>
      <c r="K12">
        <v>20</v>
      </c>
      <c r="L12">
        <v>15</v>
      </c>
      <c r="M12">
        <v>25</v>
      </c>
      <c r="N12">
        <v>60</v>
      </c>
      <c r="O12">
        <v>65</v>
      </c>
      <c r="P12">
        <v>70</v>
      </c>
      <c r="Q12">
        <v>60</v>
      </c>
      <c r="R12">
        <v>55</v>
      </c>
      <c r="S12">
        <v>35</v>
      </c>
      <c r="T12">
        <v>20</v>
      </c>
      <c r="U12">
        <v>30</v>
      </c>
    </row>
    <row r="13" spans="1:21">
      <c r="A13">
        <v>11</v>
      </c>
      <c r="B13">
        <v>90</v>
      </c>
      <c r="C13">
        <v>106</v>
      </c>
      <c r="D13">
        <v>90</v>
      </c>
      <c r="E13">
        <v>80</v>
      </c>
      <c r="F13">
        <v>0.83333333333333337</v>
      </c>
      <c r="G13">
        <v>0.83333333333333337</v>
      </c>
      <c r="H13">
        <v>1</v>
      </c>
      <c r="I13">
        <v>1</v>
      </c>
      <c r="J13">
        <v>55</v>
      </c>
      <c r="K13">
        <v>65</v>
      </c>
      <c r="L13">
        <v>80</v>
      </c>
      <c r="M13">
        <v>70</v>
      </c>
      <c r="N13">
        <v>45</v>
      </c>
      <c r="O13">
        <v>35</v>
      </c>
      <c r="P13">
        <v>70</v>
      </c>
      <c r="Q13">
        <v>65</v>
      </c>
      <c r="R13">
        <v>70</v>
      </c>
      <c r="S13">
        <v>80</v>
      </c>
      <c r="T13">
        <v>85</v>
      </c>
      <c r="U13">
        <v>60</v>
      </c>
    </row>
    <row r="14" spans="1:21">
      <c r="A14">
        <v>12</v>
      </c>
      <c r="B14">
        <v>62</v>
      </c>
      <c r="C14">
        <v>63</v>
      </c>
      <c r="D14">
        <v>92</v>
      </c>
      <c r="E14">
        <v>60</v>
      </c>
      <c r="F14">
        <v>1</v>
      </c>
      <c r="G14">
        <v>0.66666666666666663</v>
      </c>
      <c r="H14">
        <v>1</v>
      </c>
      <c r="I14">
        <v>1</v>
      </c>
      <c r="J14">
        <v>45</v>
      </c>
      <c r="K14">
        <v>50</v>
      </c>
      <c r="L14">
        <v>40</v>
      </c>
      <c r="M14">
        <v>45</v>
      </c>
      <c r="N14">
        <v>25</v>
      </c>
      <c r="O14">
        <v>60</v>
      </c>
      <c r="P14">
        <v>40</v>
      </c>
      <c r="Q14">
        <v>30</v>
      </c>
      <c r="R14">
        <v>85</v>
      </c>
      <c r="S14">
        <v>90</v>
      </c>
      <c r="T14">
        <v>35</v>
      </c>
      <c r="U14">
        <v>30</v>
      </c>
    </row>
    <row r="15" spans="1:21">
      <c r="A15">
        <v>13</v>
      </c>
      <c r="B15">
        <v>94</v>
      </c>
      <c r="C15">
        <v>84</v>
      </c>
      <c r="D15">
        <v>82</v>
      </c>
      <c r="E15">
        <v>78</v>
      </c>
      <c r="F15">
        <v>1</v>
      </c>
      <c r="G15">
        <v>0.8</v>
      </c>
      <c r="H15">
        <v>1</v>
      </c>
      <c r="I15">
        <v>0.83333333333333337</v>
      </c>
      <c r="J15">
        <v>25</v>
      </c>
      <c r="K15">
        <v>35</v>
      </c>
      <c r="L15">
        <v>50</v>
      </c>
      <c r="M15">
        <v>45</v>
      </c>
      <c r="N15">
        <v>45</v>
      </c>
      <c r="O15">
        <v>40</v>
      </c>
      <c r="P15">
        <v>40</v>
      </c>
      <c r="Q15">
        <v>45</v>
      </c>
      <c r="R15">
        <v>50</v>
      </c>
      <c r="S15">
        <v>50</v>
      </c>
      <c r="T15">
        <v>35</v>
      </c>
      <c r="U15">
        <v>45</v>
      </c>
    </row>
    <row r="16" spans="1:21">
      <c r="A16">
        <v>14</v>
      </c>
      <c r="B16">
        <v>48</v>
      </c>
      <c r="C16">
        <v>50</v>
      </c>
      <c r="D16">
        <v>47</v>
      </c>
      <c r="E16">
        <v>53</v>
      </c>
      <c r="F16">
        <v>0.5</v>
      </c>
      <c r="G16">
        <v>0.8</v>
      </c>
      <c r="H16">
        <v>1</v>
      </c>
      <c r="I16">
        <v>0.66666666666666663</v>
      </c>
      <c r="J16">
        <v>90</v>
      </c>
      <c r="K16">
        <v>5</v>
      </c>
      <c r="L16">
        <v>5</v>
      </c>
      <c r="M16">
        <v>75</v>
      </c>
      <c r="N16">
        <v>10</v>
      </c>
      <c r="O16">
        <v>90</v>
      </c>
      <c r="P16">
        <v>70</v>
      </c>
      <c r="Q16">
        <v>65</v>
      </c>
      <c r="R16">
        <v>85</v>
      </c>
      <c r="S16">
        <v>10</v>
      </c>
      <c r="T16">
        <v>15</v>
      </c>
      <c r="U16">
        <v>20</v>
      </c>
    </row>
    <row r="17" spans="1:21">
      <c r="A17">
        <v>15</v>
      </c>
      <c r="B17">
        <v>67</v>
      </c>
      <c r="C17">
        <v>62</v>
      </c>
      <c r="D17">
        <v>55</v>
      </c>
      <c r="E17">
        <v>70</v>
      </c>
      <c r="F17">
        <v>0.83333333333333337</v>
      </c>
      <c r="G17">
        <v>1</v>
      </c>
      <c r="H17">
        <v>0.8</v>
      </c>
      <c r="I17">
        <v>0.83333333333333337</v>
      </c>
      <c r="J17">
        <v>65</v>
      </c>
      <c r="K17">
        <v>20</v>
      </c>
      <c r="L17">
        <v>65</v>
      </c>
      <c r="M17">
        <v>45</v>
      </c>
      <c r="N17">
        <v>60</v>
      </c>
      <c r="O17">
        <v>40</v>
      </c>
      <c r="P17">
        <v>60</v>
      </c>
      <c r="Q17">
        <v>70</v>
      </c>
      <c r="R17">
        <v>40</v>
      </c>
      <c r="S17">
        <v>35</v>
      </c>
      <c r="T17">
        <v>35</v>
      </c>
      <c r="U17">
        <v>30</v>
      </c>
    </row>
    <row r="18" spans="1:21">
      <c r="A18">
        <v>16</v>
      </c>
      <c r="B18">
        <v>104</v>
      </c>
      <c r="C18">
        <v>82</v>
      </c>
      <c r="D18">
        <v>109</v>
      </c>
      <c r="E18">
        <v>94</v>
      </c>
      <c r="F18">
        <v>1</v>
      </c>
      <c r="G18">
        <v>1</v>
      </c>
      <c r="H18">
        <v>0.83333333333333337</v>
      </c>
      <c r="I18">
        <v>1</v>
      </c>
      <c r="J18">
        <v>100</v>
      </c>
      <c r="K18">
        <v>100</v>
      </c>
      <c r="L18">
        <v>100</v>
      </c>
      <c r="M18">
        <v>100</v>
      </c>
      <c r="N18">
        <v>75</v>
      </c>
      <c r="O18">
        <v>20</v>
      </c>
      <c r="P18">
        <v>35</v>
      </c>
      <c r="Q18">
        <v>85</v>
      </c>
      <c r="R18">
        <v>75</v>
      </c>
      <c r="S18">
        <v>90</v>
      </c>
      <c r="T18">
        <v>85</v>
      </c>
      <c r="U18">
        <v>65</v>
      </c>
    </row>
    <row r="19" spans="1:21">
      <c r="A19">
        <v>17</v>
      </c>
      <c r="B19">
        <v>80</v>
      </c>
      <c r="C19">
        <v>70</v>
      </c>
      <c r="D19">
        <v>62</v>
      </c>
      <c r="E19">
        <v>67</v>
      </c>
      <c r="F19">
        <v>1</v>
      </c>
      <c r="G19">
        <v>1</v>
      </c>
      <c r="H19">
        <v>0.83333333333333337</v>
      </c>
      <c r="I19">
        <v>0.83333333333333337</v>
      </c>
      <c r="J19">
        <v>20</v>
      </c>
      <c r="K19">
        <v>30</v>
      </c>
      <c r="L19">
        <v>25</v>
      </c>
      <c r="M19">
        <v>25</v>
      </c>
      <c r="N19">
        <v>35</v>
      </c>
      <c r="O19">
        <v>45</v>
      </c>
      <c r="P19">
        <v>65</v>
      </c>
      <c r="Q19">
        <v>65</v>
      </c>
      <c r="R19">
        <v>65</v>
      </c>
      <c r="S19">
        <v>55</v>
      </c>
      <c r="T19">
        <v>35</v>
      </c>
      <c r="U19">
        <v>60</v>
      </c>
    </row>
    <row r="20" spans="1:21">
      <c r="A20">
        <v>18</v>
      </c>
      <c r="B20">
        <v>67</v>
      </c>
      <c r="C20">
        <v>64</v>
      </c>
      <c r="D20">
        <v>54</v>
      </c>
      <c r="E20">
        <v>58</v>
      </c>
      <c r="F20">
        <v>1</v>
      </c>
      <c r="G20">
        <v>1</v>
      </c>
      <c r="H20">
        <v>1</v>
      </c>
      <c r="I20">
        <v>1</v>
      </c>
      <c r="J20">
        <v>65</v>
      </c>
      <c r="K20">
        <v>20</v>
      </c>
      <c r="L20">
        <v>35</v>
      </c>
      <c r="M20">
        <v>60</v>
      </c>
      <c r="N20">
        <v>60</v>
      </c>
      <c r="O20">
        <v>40</v>
      </c>
      <c r="P20">
        <v>30</v>
      </c>
      <c r="Q20">
        <v>45</v>
      </c>
      <c r="R20">
        <v>60</v>
      </c>
      <c r="S20">
        <v>30</v>
      </c>
      <c r="T20">
        <v>40</v>
      </c>
      <c r="U20">
        <v>40</v>
      </c>
    </row>
    <row r="21" spans="1:21">
      <c r="A21">
        <v>19</v>
      </c>
      <c r="B21">
        <v>77</v>
      </c>
      <c r="C21">
        <v>75</v>
      </c>
      <c r="D21">
        <v>70</v>
      </c>
      <c r="E21">
        <v>83</v>
      </c>
      <c r="F21">
        <v>1</v>
      </c>
      <c r="G21">
        <v>0.8</v>
      </c>
      <c r="H21">
        <v>0.66666666666666663</v>
      </c>
      <c r="I21">
        <v>1</v>
      </c>
      <c r="J21">
        <v>0</v>
      </c>
      <c r="K21">
        <v>0</v>
      </c>
      <c r="L21">
        <v>15</v>
      </c>
      <c r="M21">
        <v>0</v>
      </c>
      <c r="N21">
        <v>30</v>
      </c>
      <c r="O21">
        <v>30</v>
      </c>
      <c r="P21">
        <v>40</v>
      </c>
      <c r="Q21">
        <v>30</v>
      </c>
      <c r="R21">
        <v>30</v>
      </c>
      <c r="S21">
        <v>25</v>
      </c>
      <c r="T21">
        <v>30</v>
      </c>
      <c r="U21">
        <v>20</v>
      </c>
    </row>
    <row r="22" spans="1:21">
      <c r="A22">
        <v>20</v>
      </c>
      <c r="B22">
        <v>97</v>
      </c>
      <c r="C22">
        <v>91</v>
      </c>
      <c r="D22">
        <v>82</v>
      </c>
      <c r="E22">
        <v>108</v>
      </c>
      <c r="F22">
        <v>1</v>
      </c>
      <c r="G22">
        <v>1</v>
      </c>
      <c r="H22">
        <v>0.5</v>
      </c>
      <c r="I22">
        <v>0.83333333333333337</v>
      </c>
      <c r="J22">
        <v>25</v>
      </c>
      <c r="K22">
        <v>10</v>
      </c>
      <c r="L22">
        <v>80</v>
      </c>
      <c r="M22">
        <v>60</v>
      </c>
      <c r="N22">
        <v>30</v>
      </c>
      <c r="O22">
        <v>25</v>
      </c>
      <c r="P22">
        <v>40</v>
      </c>
      <c r="Q22">
        <v>50</v>
      </c>
      <c r="R22">
        <v>50</v>
      </c>
      <c r="S22">
        <v>30</v>
      </c>
      <c r="T22">
        <v>35</v>
      </c>
      <c r="U22">
        <v>30</v>
      </c>
    </row>
    <row r="23" spans="1:21">
      <c r="A23">
        <v>21</v>
      </c>
      <c r="B23">
        <v>47</v>
      </c>
      <c r="C23">
        <v>54</v>
      </c>
      <c r="D23">
        <v>37</v>
      </c>
      <c r="E23">
        <v>44</v>
      </c>
      <c r="F23">
        <v>0.8</v>
      </c>
      <c r="G23">
        <v>0.8</v>
      </c>
      <c r="H23">
        <v>0.83333333333333337</v>
      </c>
      <c r="I23">
        <v>0.83333333333333337</v>
      </c>
      <c r="J23">
        <v>20</v>
      </c>
      <c r="K23">
        <v>20</v>
      </c>
      <c r="L23">
        <v>10</v>
      </c>
      <c r="M23">
        <v>30</v>
      </c>
      <c r="N23">
        <v>60</v>
      </c>
      <c r="O23">
        <v>40</v>
      </c>
      <c r="P23">
        <v>80</v>
      </c>
      <c r="Q23">
        <v>60</v>
      </c>
      <c r="R23">
        <v>70</v>
      </c>
      <c r="S23">
        <v>70</v>
      </c>
      <c r="T23">
        <v>40</v>
      </c>
      <c r="U23">
        <v>30</v>
      </c>
    </row>
    <row r="24" spans="1:21">
      <c r="A24">
        <v>22</v>
      </c>
      <c r="B24">
        <v>75</v>
      </c>
      <c r="C24">
        <v>60</v>
      </c>
      <c r="D24">
        <v>75</v>
      </c>
      <c r="E24">
        <v>67</v>
      </c>
      <c r="F24">
        <v>1</v>
      </c>
      <c r="G24">
        <v>0.83333333333333337</v>
      </c>
      <c r="H24">
        <v>0.66666666666666663</v>
      </c>
      <c r="I24">
        <v>1</v>
      </c>
      <c r="J24">
        <v>5</v>
      </c>
      <c r="K24">
        <v>15</v>
      </c>
      <c r="L24">
        <v>50</v>
      </c>
      <c r="M24">
        <v>0</v>
      </c>
      <c r="N24">
        <v>20</v>
      </c>
      <c r="O24">
        <v>25</v>
      </c>
      <c r="P24">
        <v>40</v>
      </c>
      <c r="Q24">
        <v>20</v>
      </c>
      <c r="R24">
        <v>80</v>
      </c>
      <c r="S24">
        <v>75</v>
      </c>
      <c r="T24">
        <v>70</v>
      </c>
      <c r="U24">
        <v>75</v>
      </c>
    </row>
    <row r="25" spans="1:21">
      <c r="A25">
        <v>23</v>
      </c>
      <c r="B25">
        <v>50</v>
      </c>
      <c r="C25">
        <v>36</v>
      </c>
      <c r="D25">
        <v>37</v>
      </c>
      <c r="E25">
        <v>33</v>
      </c>
      <c r="F25">
        <v>0.83333333333333337</v>
      </c>
      <c r="G25">
        <v>0.8</v>
      </c>
      <c r="H25">
        <v>0.66666666666666663</v>
      </c>
      <c r="I25">
        <v>0.83333333333333337</v>
      </c>
      <c r="J25">
        <v>40</v>
      </c>
      <c r="K25">
        <v>35</v>
      </c>
      <c r="L25">
        <v>5</v>
      </c>
      <c r="M25">
        <v>0</v>
      </c>
      <c r="N25">
        <v>40</v>
      </c>
      <c r="O25">
        <v>70</v>
      </c>
      <c r="P25">
        <v>30</v>
      </c>
      <c r="Q25">
        <v>5</v>
      </c>
      <c r="R25">
        <v>40</v>
      </c>
      <c r="S25">
        <v>35</v>
      </c>
      <c r="T25">
        <v>20</v>
      </c>
      <c r="U25">
        <v>15</v>
      </c>
    </row>
    <row r="26" spans="1:21">
      <c r="A26">
        <v>24</v>
      </c>
      <c r="B26">
        <v>76</v>
      </c>
      <c r="C26">
        <v>79</v>
      </c>
      <c r="D26">
        <v>57</v>
      </c>
      <c r="E26">
        <v>55</v>
      </c>
      <c r="F26">
        <v>1</v>
      </c>
      <c r="G26">
        <v>1</v>
      </c>
      <c r="H26">
        <v>0.83333333333333337</v>
      </c>
      <c r="I26">
        <v>1</v>
      </c>
      <c r="J26">
        <v>60</v>
      </c>
      <c r="K26">
        <v>40</v>
      </c>
      <c r="L26">
        <v>50</v>
      </c>
      <c r="M26">
        <v>30</v>
      </c>
      <c r="N26">
        <v>15</v>
      </c>
      <c r="O26">
        <v>15</v>
      </c>
      <c r="P26">
        <v>25</v>
      </c>
      <c r="Q26">
        <v>10</v>
      </c>
      <c r="R26">
        <v>60</v>
      </c>
      <c r="S26">
        <v>50</v>
      </c>
      <c r="T26">
        <v>75</v>
      </c>
      <c r="U26">
        <v>40</v>
      </c>
    </row>
    <row r="27" spans="1:21">
      <c r="A27">
        <v>25</v>
      </c>
      <c r="B27">
        <v>97</v>
      </c>
      <c r="C27">
        <v>84</v>
      </c>
      <c r="D27">
        <v>94</v>
      </c>
      <c r="E27">
        <v>109</v>
      </c>
      <c r="F27">
        <v>0.83333333333333337</v>
      </c>
      <c r="G27">
        <v>0.83333333333333337</v>
      </c>
      <c r="H27">
        <v>0.8</v>
      </c>
      <c r="I27">
        <v>0.83333333333333337</v>
      </c>
      <c r="J27">
        <v>60</v>
      </c>
      <c r="K27">
        <v>45</v>
      </c>
      <c r="L27">
        <v>50</v>
      </c>
      <c r="M27">
        <v>50</v>
      </c>
      <c r="N27">
        <v>25</v>
      </c>
      <c r="O27">
        <v>30</v>
      </c>
      <c r="P27">
        <v>25</v>
      </c>
      <c r="Q27">
        <v>35</v>
      </c>
      <c r="R27">
        <v>65</v>
      </c>
      <c r="S27">
        <v>70</v>
      </c>
      <c r="T27">
        <v>60</v>
      </c>
      <c r="U27">
        <v>70</v>
      </c>
    </row>
    <row r="28" spans="1:21">
      <c r="A28">
        <v>26</v>
      </c>
      <c r="B28">
        <v>85</v>
      </c>
      <c r="C28">
        <v>72</v>
      </c>
      <c r="D28">
        <v>91</v>
      </c>
      <c r="E28">
        <v>107</v>
      </c>
      <c r="F28">
        <v>1</v>
      </c>
      <c r="G28">
        <v>1</v>
      </c>
      <c r="H28">
        <v>1</v>
      </c>
      <c r="I28">
        <v>0.8</v>
      </c>
      <c r="J28">
        <v>65</v>
      </c>
      <c r="K28">
        <v>50</v>
      </c>
      <c r="L28">
        <v>55</v>
      </c>
      <c r="M28">
        <v>50</v>
      </c>
      <c r="N28">
        <v>30</v>
      </c>
      <c r="O28">
        <v>15</v>
      </c>
      <c r="P28">
        <v>35</v>
      </c>
      <c r="Q28">
        <v>40</v>
      </c>
      <c r="R28">
        <v>65</v>
      </c>
      <c r="S28">
        <v>55</v>
      </c>
      <c r="T28">
        <v>65</v>
      </c>
      <c r="U28">
        <v>60</v>
      </c>
    </row>
    <row r="29" spans="1:21">
      <c r="A29">
        <v>27</v>
      </c>
      <c r="B29">
        <v>76</v>
      </c>
      <c r="C29">
        <v>87</v>
      </c>
      <c r="D29">
        <v>73</v>
      </c>
      <c r="E29">
        <v>83</v>
      </c>
      <c r="F29">
        <v>1</v>
      </c>
      <c r="G29">
        <v>1</v>
      </c>
      <c r="H29">
        <v>0.83333333333333337</v>
      </c>
      <c r="I29">
        <v>1</v>
      </c>
      <c r="J29">
        <v>30</v>
      </c>
      <c r="K29">
        <v>35</v>
      </c>
      <c r="L29">
        <v>35</v>
      </c>
      <c r="M29">
        <v>25</v>
      </c>
      <c r="N29">
        <v>20</v>
      </c>
      <c r="O29">
        <v>30</v>
      </c>
      <c r="P29">
        <v>30</v>
      </c>
      <c r="Q29">
        <v>15</v>
      </c>
      <c r="R29">
        <v>55</v>
      </c>
      <c r="S29">
        <v>60</v>
      </c>
      <c r="T29">
        <v>45</v>
      </c>
      <c r="U29">
        <v>50</v>
      </c>
    </row>
    <row r="30" spans="1:21">
      <c r="A30">
        <v>28</v>
      </c>
      <c r="B30">
        <v>94</v>
      </c>
      <c r="C30">
        <v>109</v>
      </c>
      <c r="D30">
        <v>86</v>
      </c>
      <c r="E30">
        <v>93</v>
      </c>
      <c r="F30">
        <v>0.83333333333333337</v>
      </c>
      <c r="G30">
        <v>1</v>
      </c>
      <c r="H30">
        <v>1</v>
      </c>
      <c r="I30">
        <v>1</v>
      </c>
      <c r="J30">
        <v>60</v>
      </c>
      <c r="K30">
        <v>60</v>
      </c>
      <c r="L30">
        <v>60</v>
      </c>
      <c r="M30">
        <v>60</v>
      </c>
      <c r="N30">
        <v>35</v>
      </c>
      <c r="O30">
        <v>45</v>
      </c>
      <c r="P30">
        <v>30</v>
      </c>
      <c r="Q30">
        <v>30</v>
      </c>
      <c r="R30">
        <v>60</v>
      </c>
      <c r="S30">
        <v>65</v>
      </c>
      <c r="T30">
        <v>55</v>
      </c>
      <c r="U30">
        <v>55</v>
      </c>
    </row>
    <row r="31" spans="1:21">
      <c r="A31">
        <v>29</v>
      </c>
      <c r="B31">
        <v>58</v>
      </c>
      <c r="C31">
        <v>56</v>
      </c>
      <c r="D31">
        <v>52</v>
      </c>
      <c r="E31">
        <v>54</v>
      </c>
      <c r="F31">
        <v>0.66666666666666663</v>
      </c>
      <c r="G31">
        <v>0.83333333333333337</v>
      </c>
      <c r="H31">
        <v>1</v>
      </c>
      <c r="I31">
        <v>0.83333333333333337</v>
      </c>
      <c r="J31">
        <v>45</v>
      </c>
      <c r="K31">
        <v>50</v>
      </c>
      <c r="L31">
        <v>50</v>
      </c>
      <c r="M31">
        <v>20</v>
      </c>
      <c r="N31">
        <v>45</v>
      </c>
      <c r="O31">
        <v>40</v>
      </c>
      <c r="P31">
        <v>30</v>
      </c>
      <c r="Q31">
        <v>30</v>
      </c>
      <c r="R31">
        <v>60</v>
      </c>
      <c r="S31">
        <v>60</v>
      </c>
      <c r="T31">
        <v>40</v>
      </c>
      <c r="U31">
        <v>25</v>
      </c>
    </row>
    <row r="32" spans="1:21">
      <c r="A32">
        <v>30</v>
      </c>
      <c r="B32">
        <v>115</v>
      </c>
      <c r="C32">
        <v>100</v>
      </c>
      <c r="D32">
        <v>103</v>
      </c>
      <c r="E32">
        <v>106</v>
      </c>
      <c r="F32">
        <v>1</v>
      </c>
      <c r="G32">
        <v>0.83333333333333337</v>
      </c>
      <c r="H32">
        <v>0.83333333333333337</v>
      </c>
      <c r="I32">
        <v>1</v>
      </c>
      <c r="J32">
        <v>60</v>
      </c>
      <c r="K32">
        <v>65</v>
      </c>
      <c r="L32">
        <v>70</v>
      </c>
      <c r="M32">
        <v>20</v>
      </c>
      <c r="N32">
        <v>60</v>
      </c>
      <c r="O32">
        <v>40</v>
      </c>
      <c r="P32">
        <v>65</v>
      </c>
      <c r="Q32">
        <v>0</v>
      </c>
      <c r="R32">
        <v>70</v>
      </c>
      <c r="S32">
        <v>65</v>
      </c>
      <c r="T32">
        <v>10</v>
      </c>
      <c r="U32">
        <v>25</v>
      </c>
    </row>
    <row r="33" spans="1:21">
      <c r="A33">
        <v>31</v>
      </c>
      <c r="B33">
        <v>84</v>
      </c>
      <c r="C33">
        <v>89</v>
      </c>
      <c r="D33">
        <v>102</v>
      </c>
      <c r="E33">
        <v>94</v>
      </c>
      <c r="F33">
        <v>1</v>
      </c>
      <c r="G33">
        <v>0.8</v>
      </c>
      <c r="H33">
        <v>1</v>
      </c>
      <c r="I33">
        <v>0.8</v>
      </c>
      <c r="J33">
        <v>40</v>
      </c>
      <c r="K33">
        <v>50</v>
      </c>
      <c r="L33">
        <v>15</v>
      </c>
      <c r="M33">
        <v>20</v>
      </c>
      <c r="N33">
        <v>15</v>
      </c>
      <c r="O33">
        <v>25</v>
      </c>
      <c r="P33">
        <v>15</v>
      </c>
      <c r="Q33">
        <v>30</v>
      </c>
      <c r="R33">
        <v>65</v>
      </c>
      <c r="S33">
        <v>80</v>
      </c>
      <c r="T33">
        <v>25</v>
      </c>
      <c r="U33">
        <v>55</v>
      </c>
    </row>
    <row r="34" spans="1:21">
      <c r="A34">
        <v>32</v>
      </c>
      <c r="B34">
        <v>162</v>
      </c>
      <c r="C34">
        <v>95</v>
      </c>
      <c r="D34">
        <v>189</v>
      </c>
      <c r="E34">
        <v>91</v>
      </c>
      <c r="F34">
        <v>0.83333333333333337</v>
      </c>
      <c r="G34">
        <v>1</v>
      </c>
      <c r="H34">
        <v>1</v>
      </c>
      <c r="I34">
        <v>1</v>
      </c>
      <c r="J34">
        <v>40</v>
      </c>
      <c r="K34">
        <v>45</v>
      </c>
      <c r="L34">
        <v>30</v>
      </c>
      <c r="M34">
        <v>40</v>
      </c>
      <c r="N34">
        <v>40</v>
      </c>
      <c r="O34">
        <v>45</v>
      </c>
      <c r="P34">
        <v>90</v>
      </c>
      <c r="Q34">
        <v>65</v>
      </c>
      <c r="R34">
        <v>40</v>
      </c>
      <c r="S34">
        <v>45</v>
      </c>
      <c r="T34">
        <v>30</v>
      </c>
      <c r="U34">
        <v>35</v>
      </c>
    </row>
    <row r="35" spans="1:21">
      <c r="A35">
        <v>33</v>
      </c>
      <c r="B35">
        <v>55</v>
      </c>
      <c r="C35">
        <v>52</v>
      </c>
      <c r="D35">
        <v>50</v>
      </c>
      <c r="E35">
        <v>49</v>
      </c>
      <c r="F35">
        <v>1</v>
      </c>
      <c r="G35">
        <v>0.66666666666666663</v>
      </c>
      <c r="H35">
        <v>1</v>
      </c>
      <c r="I35">
        <v>1</v>
      </c>
      <c r="J35">
        <v>5</v>
      </c>
      <c r="K35">
        <v>10</v>
      </c>
      <c r="L35">
        <v>0</v>
      </c>
      <c r="M35">
        <v>0</v>
      </c>
      <c r="N35">
        <v>20</v>
      </c>
      <c r="O35">
        <v>45</v>
      </c>
      <c r="P35">
        <v>15</v>
      </c>
      <c r="Q35">
        <v>20</v>
      </c>
      <c r="R35">
        <v>65</v>
      </c>
      <c r="S35">
        <v>75</v>
      </c>
      <c r="T35">
        <v>45</v>
      </c>
      <c r="U35">
        <v>45</v>
      </c>
    </row>
    <row r="36" spans="1:21">
      <c r="A36">
        <v>34</v>
      </c>
      <c r="B36">
        <v>111</v>
      </c>
      <c r="C36">
        <v>60</v>
      </c>
      <c r="D36">
        <v>73</v>
      </c>
      <c r="E36">
        <v>75</v>
      </c>
      <c r="F36">
        <v>1</v>
      </c>
      <c r="G36">
        <v>0.8</v>
      </c>
      <c r="H36">
        <v>1</v>
      </c>
      <c r="I36">
        <v>1</v>
      </c>
      <c r="J36">
        <v>60</v>
      </c>
      <c r="K36">
        <v>25</v>
      </c>
      <c r="L36">
        <v>30</v>
      </c>
      <c r="M36">
        <v>60</v>
      </c>
      <c r="N36">
        <v>30</v>
      </c>
      <c r="O36">
        <v>45</v>
      </c>
      <c r="P36">
        <v>25</v>
      </c>
      <c r="Q36">
        <v>35</v>
      </c>
      <c r="R36">
        <v>70</v>
      </c>
      <c r="S36">
        <v>55</v>
      </c>
      <c r="T36">
        <v>35</v>
      </c>
      <c r="U36">
        <v>75</v>
      </c>
    </row>
    <row r="37" spans="1:21">
      <c r="A37">
        <v>35</v>
      </c>
      <c r="B37">
        <v>83</v>
      </c>
      <c r="C37">
        <v>69</v>
      </c>
      <c r="D37">
        <v>62</v>
      </c>
      <c r="E37">
        <v>61</v>
      </c>
      <c r="F37">
        <v>1</v>
      </c>
      <c r="G37">
        <v>0.66666666666666663</v>
      </c>
      <c r="H37">
        <v>1</v>
      </c>
      <c r="I37">
        <v>1</v>
      </c>
      <c r="J37">
        <v>65</v>
      </c>
      <c r="K37">
        <v>65</v>
      </c>
      <c r="L37">
        <v>55</v>
      </c>
      <c r="M37">
        <v>65</v>
      </c>
      <c r="N37">
        <v>55</v>
      </c>
      <c r="O37">
        <v>60</v>
      </c>
      <c r="P37">
        <v>95</v>
      </c>
      <c r="Q37">
        <v>85</v>
      </c>
      <c r="R37">
        <v>70</v>
      </c>
      <c r="S37">
        <v>65</v>
      </c>
      <c r="T37">
        <v>65</v>
      </c>
      <c r="U37">
        <v>75</v>
      </c>
    </row>
    <row r="38" spans="1:21">
      <c r="A38">
        <v>36</v>
      </c>
      <c r="B38">
        <v>82</v>
      </c>
      <c r="C38">
        <v>114</v>
      </c>
      <c r="D38">
        <v>84</v>
      </c>
      <c r="E38">
        <v>71</v>
      </c>
      <c r="F38">
        <v>0.66666666666666663</v>
      </c>
      <c r="G38">
        <v>0.8</v>
      </c>
      <c r="H38">
        <v>0.66666666666666663</v>
      </c>
      <c r="I38">
        <v>0.83333333333333337</v>
      </c>
      <c r="J38">
        <v>0</v>
      </c>
      <c r="K38">
        <v>70</v>
      </c>
      <c r="L38">
        <v>0</v>
      </c>
      <c r="M38">
        <v>0</v>
      </c>
      <c r="N38">
        <v>100</v>
      </c>
      <c r="O38">
        <v>10</v>
      </c>
      <c r="P38">
        <v>80</v>
      </c>
      <c r="Q38">
        <v>100</v>
      </c>
      <c r="R38">
        <v>90</v>
      </c>
      <c r="S38">
        <v>50</v>
      </c>
      <c r="T38">
        <v>0</v>
      </c>
      <c r="U38">
        <v>60</v>
      </c>
    </row>
    <row r="39" spans="1:21">
      <c r="A39">
        <v>37</v>
      </c>
      <c r="B39">
        <v>83</v>
      </c>
      <c r="C39">
        <v>100</v>
      </c>
      <c r="D39">
        <v>72</v>
      </c>
      <c r="E39">
        <v>80</v>
      </c>
      <c r="F39">
        <v>0.83333333333333337</v>
      </c>
      <c r="G39">
        <v>1</v>
      </c>
      <c r="H39">
        <v>1</v>
      </c>
      <c r="I39">
        <v>0.83333333333333337</v>
      </c>
      <c r="J39">
        <v>5</v>
      </c>
      <c r="K39">
        <v>10</v>
      </c>
      <c r="L39">
        <v>5</v>
      </c>
      <c r="M39">
        <v>5</v>
      </c>
      <c r="N39">
        <v>55</v>
      </c>
      <c r="O39">
        <v>55</v>
      </c>
      <c r="P39">
        <v>5</v>
      </c>
      <c r="Q39">
        <v>45</v>
      </c>
      <c r="R39">
        <v>60</v>
      </c>
      <c r="S39">
        <v>5</v>
      </c>
      <c r="T39">
        <v>40</v>
      </c>
      <c r="U39">
        <v>10</v>
      </c>
    </row>
    <row r="40" spans="1:21">
      <c r="A40">
        <v>38</v>
      </c>
      <c r="B40">
        <v>64</v>
      </c>
      <c r="C40">
        <v>49</v>
      </c>
      <c r="D40">
        <v>54</v>
      </c>
      <c r="E40">
        <v>62</v>
      </c>
      <c r="F40">
        <v>1</v>
      </c>
      <c r="G40">
        <v>0.8</v>
      </c>
      <c r="H40">
        <v>0.83333333333333337</v>
      </c>
      <c r="I40">
        <v>0.83333333333333337</v>
      </c>
      <c r="J40">
        <v>40</v>
      </c>
      <c r="K40">
        <v>40</v>
      </c>
      <c r="L40">
        <v>25</v>
      </c>
      <c r="M40">
        <v>30</v>
      </c>
      <c r="N40">
        <v>30</v>
      </c>
      <c r="O40">
        <v>40</v>
      </c>
      <c r="P40">
        <v>20</v>
      </c>
      <c r="Q40">
        <v>20</v>
      </c>
      <c r="R40">
        <v>50</v>
      </c>
      <c r="S40">
        <v>55</v>
      </c>
      <c r="T40">
        <v>30</v>
      </c>
      <c r="U40">
        <v>40</v>
      </c>
    </row>
    <row r="41" spans="1:21">
      <c r="A41">
        <v>39</v>
      </c>
      <c r="B41">
        <v>79</v>
      </c>
      <c r="C41">
        <v>81</v>
      </c>
      <c r="D41">
        <v>89</v>
      </c>
      <c r="E41">
        <v>75</v>
      </c>
      <c r="F41">
        <v>1</v>
      </c>
      <c r="G41">
        <v>0.7142857142857143</v>
      </c>
      <c r="H41">
        <v>0.66666666666666663</v>
      </c>
      <c r="I41">
        <v>1</v>
      </c>
      <c r="J41">
        <v>25</v>
      </c>
      <c r="K41">
        <v>35</v>
      </c>
      <c r="L41">
        <v>30</v>
      </c>
      <c r="M41">
        <v>20</v>
      </c>
      <c r="N41">
        <v>25</v>
      </c>
      <c r="O41">
        <v>40</v>
      </c>
      <c r="P41">
        <v>55</v>
      </c>
      <c r="Q41">
        <v>35</v>
      </c>
      <c r="R41">
        <v>30</v>
      </c>
      <c r="S41">
        <v>45</v>
      </c>
      <c r="T41">
        <v>60</v>
      </c>
      <c r="U41">
        <v>40</v>
      </c>
    </row>
    <row r="42" spans="1:21">
      <c r="A42">
        <v>40</v>
      </c>
      <c r="B42">
        <v>59</v>
      </c>
      <c r="C42">
        <v>56</v>
      </c>
      <c r="D42">
        <v>55</v>
      </c>
      <c r="E42">
        <v>53</v>
      </c>
      <c r="F42">
        <v>1</v>
      </c>
      <c r="G42">
        <v>0.8</v>
      </c>
      <c r="H42">
        <v>1</v>
      </c>
      <c r="I42">
        <v>1</v>
      </c>
      <c r="J42">
        <v>20</v>
      </c>
      <c r="K42">
        <v>40</v>
      </c>
      <c r="L42">
        <v>30</v>
      </c>
      <c r="M42">
        <v>10</v>
      </c>
      <c r="N42">
        <v>20</v>
      </c>
      <c r="O42">
        <v>40</v>
      </c>
      <c r="P42">
        <v>30</v>
      </c>
      <c r="Q42">
        <v>20</v>
      </c>
      <c r="R42">
        <v>30</v>
      </c>
      <c r="S42">
        <v>40</v>
      </c>
      <c r="T42">
        <v>50</v>
      </c>
      <c r="U42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201"/>
  <sheetViews>
    <sheetView topLeftCell="A10" workbookViewId="0"/>
  </sheetViews>
  <sheetFormatPr defaultColWidth="12.6640625" defaultRowHeight="15.75" customHeight="1"/>
  <cols>
    <col min="7" max="7" width="13.33203125" customWidth="1"/>
    <col min="8" max="8" width="14.77734375" customWidth="1"/>
    <col min="9" max="9" width="16.88671875" customWidth="1"/>
  </cols>
  <sheetData>
    <row r="1" spans="1:16">
      <c r="A1" s="6" t="s">
        <v>0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18</v>
      </c>
      <c r="H1" s="6" t="s">
        <v>19</v>
      </c>
      <c r="I1" s="6" t="s">
        <v>20</v>
      </c>
      <c r="J1" s="6" t="s">
        <v>27</v>
      </c>
    </row>
    <row r="2" spans="1:16">
      <c r="A2" s="8">
        <f t="array" ref="A2">INDEX('Data Collection'!$A$3:$A$54, INT((ROW()-2)/4)+1)</f>
        <v>1</v>
      </c>
      <c r="B2" s="8" t="str">
        <f t="shared" ref="B2:B201" si="0">INDEX({"VS-VS","VS-VV","VS-AV","VS-AS"}, MOD(ROW()-2,4)+1)</f>
        <v>VS-VS</v>
      </c>
      <c r="C2" s="8" t="str">
        <f t="shared" ref="C2:C201" si="1">IF(RIGHT(B2,2)="VS","Visual",IF(RIGHT(B2,2)="VV", "Visual",IF(RIGHT(B2,2)="AV","Auditory",IF(RIGHT(B2,2)="AS","Auditory"))))</f>
        <v>Visual</v>
      </c>
      <c r="D2" s="8" t="str">
        <f t="shared" ref="D2:D201" si="2">IF(RIGHT(B2,1)="S","Spatial",IF(RIGHT(B2,1)="V", "Verbal",IF(RIGHT(B2,1)="V","Verbal",IF(RIGHT(B2,1)="S","Spatial"))))</f>
        <v>Spatial</v>
      </c>
      <c r="E2" s="8">
        <f t="array" ref="E2">INDEX('Data Collection'!$B$2:$E$54,MATCH(A2,'Data Collection'!$A$2:$A$54,0),MATCH(B2,'Data Collection'!$B$2:$E$2,0))</f>
        <v>69</v>
      </c>
      <c r="F2" s="44" t="str">
        <f t="array" aca="1" ref="F2" ca="1">IFERROR(_xludf.let(cell,INDEX('Data Collection'!$F$2:$I$54,MATCH(A2,'Data Collection'!$A$2:$A$54,0),MATCH(B2,'Data Collection'!$F$2:$I$2,0)),LEFT(cell, FIND("/", cell)-1) / MID(cell, FIND("/", cell)+1, LEN(cell))),"")</f>
        <v/>
      </c>
      <c r="G2" s="45">
        <f t="array" ref="G2">INDEX('Data Collection'!$J$2:$M$54,MATCH(A2,'Data Collection'!$A$2:$A$54,0),MATCH(B2,'Data Collection'!$J$2:$M$2,0))</f>
        <v>40</v>
      </c>
      <c r="H2" s="45">
        <f t="array" ref="H2">INDEX('Data Collection'!$N$2:$Q$54,MATCH(A2,'Data Collection'!$A$2:$A$54,0),MATCH(B2,'Data Collection'!$N$2:$Q$2,0))</f>
        <v>35</v>
      </c>
      <c r="I2" s="45">
        <f t="array" ref="I2">INDEX('Data Collection'!$R$2:$U$54,MATCH(A2,'Data Collection'!$A$2:$A$54,0),MATCH(B2,'Data Collection'!$R$2:$U$2,0))</f>
        <v>30</v>
      </c>
      <c r="J2" s="45">
        <f t="shared" ref="J2:J201" si="3">IFERROR(AVERAGE(G2:I2),"")</f>
        <v>35</v>
      </c>
      <c r="M2" s="53" t="s">
        <v>17</v>
      </c>
      <c r="N2" s="54"/>
      <c r="O2" s="54"/>
      <c r="P2" s="55"/>
    </row>
    <row r="3" spans="1:16">
      <c r="A3" s="8">
        <f t="array" ref="A3">INDEX('Data Collection'!$A$3:$A$54, INT((ROW()-2)/4)+1)</f>
        <v>1</v>
      </c>
      <c r="B3" s="8" t="str">
        <f t="shared" si="0"/>
        <v>VS-VV</v>
      </c>
      <c r="C3" s="8" t="str">
        <f t="shared" si="1"/>
        <v>Visual</v>
      </c>
      <c r="D3" s="8" t="str">
        <f t="shared" si="2"/>
        <v>Verbal</v>
      </c>
      <c r="E3" s="8">
        <f t="array" ref="E3">INDEX('Data Collection'!$B$2:$E$54,MATCH(A3,'Data Collection'!$A$2:$A$54,0),MATCH(B3,'Data Collection'!$B$2:$E$2,0))</f>
        <v>56</v>
      </c>
      <c r="F3" s="44" t="str">
        <f t="array" aca="1" ref="F3" ca="1">IFERROR(_xludf.let(cell,INDEX('Data Collection'!$F$2:$I$54,MATCH(A3,'Data Collection'!$A$2:$A$54,0),MATCH(B3,'Data Collection'!$F$2:$I$2,0)),LEFT(cell, FIND("/", cell)-1) / MID(cell, FIND("/", cell)+1, LEN(cell))),"")</f>
        <v/>
      </c>
      <c r="G3" s="45">
        <f t="array" ref="G3">INDEX('Data Collection'!$J$2:$M$54,MATCH(A3,'Data Collection'!$A$2:$A$54,0),MATCH(B3,'Data Collection'!$J$2:$M$2,0))</f>
        <v>50</v>
      </c>
      <c r="H3" s="45">
        <f t="array" ref="H3">INDEX('Data Collection'!$N$2:$Q$54,MATCH(A3,'Data Collection'!$A$2:$A$54,0),MATCH(B3,'Data Collection'!$N$2:$Q$2,0))</f>
        <v>45</v>
      </c>
      <c r="I3" s="45">
        <f t="array" ref="I3">INDEX('Data Collection'!$R$2:$U$54,MATCH(A3,'Data Collection'!$A$2:$A$54,0),MATCH(B3,'Data Collection'!$R$2:$U$2,0))</f>
        <v>40</v>
      </c>
      <c r="J3" s="45">
        <f t="shared" si="3"/>
        <v>45</v>
      </c>
      <c r="M3" s="10" t="s">
        <v>2</v>
      </c>
      <c r="N3" s="10" t="s">
        <v>3</v>
      </c>
      <c r="O3" s="10" t="s">
        <v>4</v>
      </c>
      <c r="P3" s="10" t="s">
        <v>5</v>
      </c>
    </row>
    <row r="4" spans="1:16">
      <c r="A4" s="8">
        <f t="array" ref="A4">INDEX('Data Collection'!$A$3:$A$54, INT((ROW()-2)/4)+1)</f>
        <v>1</v>
      </c>
      <c r="B4" s="8" t="str">
        <f t="shared" si="0"/>
        <v>VS-AV</v>
      </c>
      <c r="C4" s="8" t="str">
        <f t="shared" si="1"/>
        <v>Auditory</v>
      </c>
      <c r="D4" s="8" t="str">
        <f t="shared" si="2"/>
        <v>Verbal</v>
      </c>
      <c r="E4" s="8">
        <f t="array" ref="E4">INDEX('Data Collection'!$B$2:$E$54,MATCH(A4,'Data Collection'!$A$2:$A$54,0),MATCH(B4,'Data Collection'!$B$2:$E$2,0))</f>
        <v>57</v>
      </c>
      <c r="F4" s="44" t="str">
        <f t="array" aca="1" ref="F4" ca="1">IFERROR(_xludf.let(cell,INDEX('Data Collection'!$F$2:$I$54,MATCH(A4,'Data Collection'!$A$2:$A$54,0),MATCH(B4,'Data Collection'!$F$2:$I$2,0)),LEFT(cell, FIND("/", cell)-1) / MID(cell, FIND("/", cell)+1, LEN(cell))),"")</f>
        <v/>
      </c>
      <c r="G4" s="45">
        <f t="array" ref="G4">INDEX('Data Collection'!$J$2:$M$54,MATCH(A4,'Data Collection'!$A$2:$A$54,0),MATCH(B4,'Data Collection'!$J$2:$M$2,0))</f>
        <v>5</v>
      </c>
      <c r="H4" s="45">
        <f t="array" ref="H4">INDEX('Data Collection'!$N$2:$Q$54,MATCH(A4,'Data Collection'!$A$2:$A$54,0),MATCH(B4,'Data Collection'!$N$2:$Q$2,0))</f>
        <v>5</v>
      </c>
      <c r="I4" s="45">
        <f t="array" ref="I4">INDEX('Data Collection'!$R$2:$U$54,MATCH(A4,'Data Collection'!$A$2:$A$54,0),MATCH(B4,'Data Collection'!$R$2:$U$2,0))</f>
        <v>15</v>
      </c>
      <c r="J4" s="45">
        <f t="shared" si="3"/>
        <v>8.3333333333333339</v>
      </c>
      <c r="L4" s="43" t="s">
        <v>7</v>
      </c>
      <c r="M4" s="21">
        <f ca="1">IFERROR(__xludf.DUMMYFUNCTION("average(FILTER($F2:$F148,$B$2:$B$148=M3))"),0.926126126126126)</f>
        <v>0.92612612612612599</v>
      </c>
      <c r="N4" s="21">
        <f ca="1">IFERROR(__xludf.DUMMYFUNCTION("average(FILTER($F2:$F148,$B$2:$B$148=N3))"),0.863963963963964)</f>
        <v>0.86396396396396402</v>
      </c>
      <c r="O4" s="21">
        <f ca="1">IFERROR(__xludf.DUMMYFUNCTION("average(FILTER($F2:$F148,$B$2:$B$148=O3))"),0.89009009009009)</f>
        <v>0.89009009009008999</v>
      </c>
      <c r="P4" s="21">
        <f ca="1">IFERROR(__xludf.DUMMYFUNCTION("average(FILTER($F2:$F148,$B$2:$B$148=P3))"),0.923148148148147)</f>
        <v>0.92314814814814705</v>
      </c>
    </row>
    <row r="5" spans="1:16">
      <c r="A5" s="8">
        <f t="array" ref="A5">INDEX('Data Collection'!$A$3:$A$54, INT((ROW()-2)/4)+1)</f>
        <v>1</v>
      </c>
      <c r="B5" s="8" t="str">
        <f t="shared" si="0"/>
        <v>VS-AS</v>
      </c>
      <c r="C5" s="8" t="str">
        <f t="shared" si="1"/>
        <v>Auditory</v>
      </c>
      <c r="D5" s="8" t="str">
        <f t="shared" si="2"/>
        <v>Spatial</v>
      </c>
      <c r="E5" s="8">
        <f t="array" ref="E5">INDEX('Data Collection'!$B$2:$E$54,MATCH(A5,'Data Collection'!$A$2:$A$54,0),MATCH(B5,'Data Collection'!$B$2:$E$2,0))</f>
        <v>56</v>
      </c>
      <c r="F5" s="44" t="str">
        <f t="array" aca="1" ref="F5" ca="1">IFERROR(_xludf.let(cell,INDEX('Data Collection'!$F$2:$I$54,MATCH(A5,'Data Collection'!$A$2:$A$54,0),MATCH(B5,'Data Collection'!$F$2:$I$2,0)),LEFT(cell, FIND("/", cell)-1) / MID(cell, FIND("/", cell)+1, LEN(cell))),"")</f>
        <v/>
      </c>
      <c r="G5" s="45">
        <f t="array" ref="G5">INDEX('Data Collection'!$J$2:$M$54,MATCH(A5,'Data Collection'!$A$2:$A$54,0),MATCH(B5,'Data Collection'!$J$2:$M$2,0))</f>
        <v>35</v>
      </c>
      <c r="H5" s="45">
        <f t="array" ref="H5">INDEX('Data Collection'!$N$2:$Q$54,MATCH(A5,'Data Collection'!$A$2:$A$54,0),MATCH(B5,'Data Collection'!$N$2:$Q$2,0))</f>
        <v>30</v>
      </c>
      <c r="I5" s="45">
        <f t="array" ref="I5">INDEX('Data Collection'!$R$2:$U$54,MATCH(A5,'Data Collection'!$A$2:$A$54,0),MATCH(B5,'Data Collection'!$R$2:$U$2,0))</f>
        <v>20</v>
      </c>
      <c r="J5" s="45">
        <f t="shared" si="3"/>
        <v>28.333333333333332</v>
      </c>
      <c r="L5" s="43" t="s">
        <v>28</v>
      </c>
      <c r="M5" s="21">
        <f ca="1">IFERROR(__xludf.DUMMYFUNCTION("STDEV(FILTER($F2:$F148,$B$2:$B$148=M3))"),0.123011375348509)</f>
        <v>0.12301137534850901</v>
      </c>
      <c r="N5" s="21">
        <f ca="1">IFERROR(__xludf.DUMMYFUNCTION("STDEV(FILTER($F2:$F148,$B$2:$B$148=N3))"),0.127506566855428)</f>
        <v>0.12750656685542799</v>
      </c>
      <c r="O5" s="21">
        <f ca="1">IFERROR(__xludf.DUMMYFUNCTION("STDEV(FILTER($F2:$F148,$B$2:$B$148=O3))"),0.138302063593163)</f>
        <v>0.13830206359316299</v>
      </c>
      <c r="P5" s="21">
        <f ca="1">IFERROR(__xludf.DUMMYFUNCTION("STDEV(FILTER($F2:$F148,$B$2:$B$148=P3))"),0.0962204626108401)</f>
        <v>9.6220462610840093E-2</v>
      </c>
    </row>
    <row r="6" spans="1:16">
      <c r="A6" s="8">
        <f t="array" ref="A6">INDEX('Data Collection'!$A$3:$A$54, INT((ROW()-2)/4)+1)</f>
        <v>2</v>
      </c>
      <c r="B6" s="8" t="str">
        <f t="shared" si="0"/>
        <v>VS-VS</v>
      </c>
      <c r="C6" s="8" t="str">
        <f t="shared" si="1"/>
        <v>Visual</v>
      </c>
      <c r="D6" s="8" t="str">
        <f t="shared" si="2"/>
        <v>Spatial</v>
      </c>
      <c r="E6" s="8">
        <f t="array" ref="E6">INDEX('Data Collection'!$B$2:$E$54,MATCH(A6,'Data Collection'!$A$2:$A$54,0),MATCH(B6,'Data Collection'!$B$2:$E$2,0))</f>
        <v>79</v>
      </c>
      <c r="F6" s="44" t="str">
        <f t="array" aca="1" ref="F6" ca="1">IFERROR(_xludf.let(cell,INDEX('Data Collection'!$F$2:$I$54,MATCH(A6,'Data Collection'!$A$2:$A$54,0),MATCH(B6,'Data Collection'!$F$2:$I$2,0)),LEFT(cell, FIND("/", cell)-1) / MID(cell, FIND("/", cell)+1, LEN(cell))),"")</f>
        <v/>
      </c>
      <c r="G6" s="45">
        <f t="array" ref="G6">INDEX('Data Collection'!$J$2:$M$54,MATCH(A6,'Data Collection'!$A$2:$A$54,0),MATCH(B6,'Data Collection'!$J$2:$M$2,0))</f>
        <v>0</v>
      </c>
      <c r="H6" s="45">
        <f t="array" ref="H6">INDEX('Data Collection'!$N$2:$Q$54,MATCH(A6,'Data Collection'!$A$2:$A$54,0),MATCH(B6,'Data Collection'!$N$2:$Q$2,0))</f>
        <v>20</v>
      </c>
      <c r="I6" s="45">
        <f t="array" ref="I6">INDEX('Data Collection'!$R$2:$U$54,MATCH(A6,'Data Collection'!$A$2:$A$54,0),MATCH(B6,'Data Collection'!$R$2:$U$2,0))</f>
        <v>90</v>
      </c>
      <c r="J6" s="45">
        <f t="shared" si="3"/>
        <v>36.666666666666664</v>
      </c>
    </row>
    <row r="7" spans="1:16">
      <c r="A7" s="8">
        <f t="array" ref="A7">INDEX('Data Collection'!$A$3:$A$54, INT((ROW()-2)/4)+1)</f>
        <v>2</v>
      </c>
      <c r="B7" s="8" t="str">
        <f t="shared" si="0"/>
        <v>VS-VV</v>
      </c>
      <c r="C7" s="8" t="str">
        <f t="shared" si="1"/>
        <v>Visual</v>
      </c>
      <c r="D7" s="8" t="str">
        <f t="shared" si="2"/>
        <v>Verbal</v>
      </c>
      <c r="E7" s="8">
        <f t="array" ref="E7">INDEX('Data Collection'!$B$2:$E$54,MATCH(A7,'Data Collection'!$A$2:$A$54,0),MATCH(B7,'Data Collection'!$B$2:$E$2,0))</f>
        <v>76</v>
      </c>
      <c r="F7" s="44" t="str">
        <f t="array" aca="1" ref="F7" ca="1">IFERROR(_xludf.let(cell,INDEX('Data Collection'!$F$2:$I$54,MATCH(A7,'Data Collection'!$A$2:$A$54,0),MATCH(B7,'Data Collection'!$F$2:$I$2,0)),LEFT(cell, FIND("/", cell)-1) / MID(cell, FIND("/", cell)+1, LEN(cell))),"")</f>
        <v/>
      </c>
      <c r="G7" s="45">
        <f t="array" ref="G7">INDEX('Data Collection'!$J$2:$M$54,MATCH(A7,'Data Collection'!$A$2:$A$54,0),MATCH(B7,'Data Collection'!$J$2:$M$2,0))</f>
        <v>35</v>
      </c>
      <c r="H7" s="45">
        <f t="array" ref="H7">INDEX('Data Collection'!$N$2:$Q$54,MATCH(A7,'Data Collection'!$A$2:$A$54,0),MATCH(B7,'Data Collection'!$N$2:$Q$2,0))</f>
        <v>30</v>
      </c>
      <c r="I7" s="45">
        <f t="array" ref="I7">INDEX('Data Collection'!$R$2:$U$54,MATCH(A7,'Data Collection'!$A$2:$A$54,0),MATCH(B7,'Data Collection'!$R$2:$U$2,0))</f>
        <v>90</v>
      </c>
      <c r="J7" s="45">
        <f t="shared" si="3"/>
        <v>51.666666666666664</v>
      </c>
    </row>
    <row r="8" spans="1:16">
      <c r="A8" s="8">
        <f t="array" ref="A8">INDEX('Data Collection'!$A$3:$A$54, INT((ROW()-2)/4)+1)</f>
        <v>2</v>
      </c>
      <c r="B8" s="8" t="str">
        <f t="shared" si="0"/>
        <v>VS-AV</v>
      </c>
      <c r="C8" s="8" t="str">
        <f t="shared" si="1"/>
        <v>Auditory</v>
      </c>
      <c r="D8" s="8" t="str">
        <f t="shared" si="2"/>
        <v>Verbal</v>
      </c>
      <c r="E8" s="8">
        <f t="array" ref="E8">INDEX('Data Collection'!$B$2:$E$54,MATCH(A8,'Data Collection'!$A$2:$A$54,0),MATCH(B8,'Data Collection'!$B$2:$E$2,0))</f>
        <v>63</v>
      </c>
      <c r="F8" s="44" t="str">
        <f t="array" aca="1" ref="F8" ca="1">IFERROR(_xludf.let(cell,INDEX('Data Collection'!$F$2:$I$54,MATCH(A8,'Data Collection'!$A$2:$A$54,0),MATCH(B8,'Data Collection'!$F$2:$I$2,0)),LEFT(cell, FIND("/", cell)-1) / MID(cell, FIND("/", cell)+1, LEN(cell))),"")</f>
        <v/>
      </c>
      <c r="G8" s="45">
        <f t="array" ref="G8">INDEX('Data Collection'!$J$2:$M$54,MATCH(A8,'Data Collection'!$A$2:$A$54,0),MATCH(B8,'Data Collection'!$J$2:$M$2,0))</f>
        <v>25</v>
      </c>
      <c r="H8" s="45">
        <f t="array" ref="H8">INDEX('Data Collection'!$N$2:$Q$54,MATCH(A8,'Data Collection'!$A$2:$A$54,0),MATCH(B8,'Data Collection'!$N$2:$Q$2,0))</f>
        <v>35</v>
      </c>
      <c r="I8" s="45">
        <f t="array" ref="I8">INDEX('Data Collection'!$R$2:$U$54,MATCH(A8,'Data Collection'!$A$2:$A$54,0),MATCH(B8,'Data Collection'!$R$2:$U$2,0))</f>
        <v>30</v>
      </c>
      <c r="J8" s="45">
        <f t="shared" si="3"/>
        <v>30</v>
      </c>
    </row>
    <row r="9" spans="1:16">
      <c r="A9" s="8">
        <f t="array" ref="A9">INDEX('Data Collection'!$A$3:$A$54, INT((ROW()-2)/4)+1)</f>
        <v>2</v>
      </c>
      <c r="B9" s="8" t="str">
        <f t="shared" si="0"/>
        <v>VS-AS</v>
      </c>
      <c r="C9" s="8" t="str">
        <f t="shared" si="1"/>
        <v>Auditory</v>
      </c>
      <c r="D9" s="8" t="str">
        <f t="shared" si="2"/>
        <v>Spatial</v>
      </c>
      <c r="E9" s="8">
        <f t="array" ref="E9">INDEX('Data Collection'!$B$2:$E$54,MATCH(A9,'Data Collection'!$A$2:$A$54,0),MATCH(B9,'Data Collection'!$B$2:$E$2,0))</f>
        <v>54</v>
      </c>
      <c r="F9" s="44" t="str">
        <f t="array" aca="1" ref="F9" ca="1">IFERROR(_xludf.let(cell,INDEX('Data Collection'!$F$2:$I$54,MATCH(A9,'Data Collection'!$A$2:$A$54,0),MATCH(B9,'Data Collection'!$F$2:$I$2,0)),LEFT(cell, FIND("/", cell)-1) / MID(cell, FIND("/", cell)+1, LEN(cell))),"")</f>
        <v/>
      </c>
      <c r="G9" s="45">
        <f t="array" ref="G9">INDEX('Data Collection'!$J$2:$M$54,MATCH(A9,'Data Collection'!$A$2:$A$54,0),MATCH(B9,'Data Collection'!$J$2:$M$2,0))</f>
        <v>0</v>
      </c>
      <c r="H9" s="45">
        <f t="array" ref="H9">INDEX('Data Collection'!$N$2:$Q$54,MATCH(A9,'Data Collection'!$A$2:$A$54,0),MATCH(B9,'Data Collection'!$N$2:$Q$2,0))</f>
        <v>5</v>
      </c>
      <c r="I9" s="45">
        <f t="array" ref="I9">INDEX('Data Collection'!$R$2:$U$54,MATCH(A9,'Data Collection'!$A$2:$A$54,0),MATCH(B9,'Data Collection'!$R$2:$U$2,0))</f>
        <v>35</v>
      </c>
      <c r="J9" s="45">
        <f t="shared" si="3"/>
        <v>13.333333333333334</v>
      </c>
    </row>
    <row r="10" spans="1:16">
      <c r="A10" s="8">
        <f t="array" ref="A10">INDEX('Data Collection'!$A$3:$A$54, INT((ROW()-2)/4)+1)</f>
        <v>3</v>
      </c>
      <c r="B10" s="8" t="str">
        <f t="shared" si="0"/>
        <v>VS-VS</v>
      </c>
      <c r="C10" s="8" t="str">
        <f t="shared" si="1"/>
        <v>Visual</v>
      </c>
      <c r="D10" s="8" t="str">
        <f t="shared" si="2"/>
        <v>Spatial</v>
      </c>
      <c r="E10" s="8">
        <f t="array" ref="E10">INDEX('Data Collection'!$B$2:$E$54,MATCH(A10,'Data Collection'!$A$2:$A$54,0),MATCH(B10,'Data Collection'!$B$2:$E$2,0))</f>
        <v>87</v>
      </c>
      <c r="F10" s="44" t="str">
        <f t="array" aca="1" ref="F10" ca="1">IFERROR(_xludf.let(cell,INDEX('Data Collection'!$F$2:$I$54,MATCH(A10,'Data Collection'!$A$2:$A$54,0),MATCH(B10,'Data Collection'!$F$2:$I$2,0)),LEFT(cell, FIND("/", cell)-1) / MID(cell, FIND("/", cell)+1, LEN(cell))),"")</f>
        <v/>
      </c>
      <c r="G10" s="45">
        <f t="array" ref="G10">INDEX('Data Collection'!$J$2:$M$54,MATCH(A10,'Data Collection'!$A$2:$A$54,0),MATCH(B10,'Data Collection'!$J$2:$M$2,0))</f>
        <v>25</v>
      </c>
      <c r="H10" s="45">
        <f t="array" ref="H10">INDEX('Data Collection'!$N$2:$Q$54,MATCH(A10,'Data Collection'!$A$2:$A$54,0),MATCH(B10,'Data Collection'!$N$2:$Q$2,0))</f>
        <v>35</v>
      </c>
      <c r="I10" s="45">
        <f t="array" ref="I10">INDEX('Data Collection'!$R$2:$U$54,MATCH(A10,'Data Collection'!$A$2:$A$54,0),MATCH(B10,'Data Collection'!$R$2:$U$2,0))</f>
        <v>35</v>
      </c>
      <c r="J10" s="45">
        <f t="shared" si="3"/>
        <v>31.666666666666668</v>
      </c>
    </row>
    <row r="11" spans="1:16">
      <c r="A11" s="8">
        <f t="array" ref="A11">INDEX('Data Collection'!$A$3:$A$54, INT((ROW()-2)/4)+1)</f>
        <v>3</v>
      </c>
      <c r="B11" s="8" t="str">
        <f t="shared" si="0"/>
        <v>VS-VV</v>
      </c>
      <c r="C11" s="8" t="str">
        <f t="shared" si="1"/>
        <v>Visual</v>
      </c>
      <c r="D11" s="8" t="str">
        <f t="shared" si="2"/>
        <v>Verbal</v>
      </c>
      <c r="E11" s="8">
        <f t="array" ref="E11">INDEX('Data Collection'!$B$2:$E$54,MATCH(A11,'Data Collection'!$A$2:$A$54,0),MATCH(B11,'Data Collection'!$B$2:$E$2,0))</f>
        <v>98</v>
      </c>
      <c r="F11" s="44" t="str">
        <f t="array" aca="1" ref="F11" ca="1">IFERROR(_xludf.let(cell,INDEX('Data Collection'!$F$2:$I$54,MATCH(A11,'Data Collection'!$A$2:$A$54,0),MATCH(B11,'Data Collection'!$F$2:$I$2,0)),LEFT(cell, FIND("/", cell)-1) / MID(cell, FIND("/", cell)+1, LEN(cell))),"")</f>
        <v/>
      </c>
      <c r="G11" s="45">
        <f t="array" ref="G11">INDEX('Data Collection'!$J$2:$M$54,MATCH(A11,'Data Collection'!$A$2:$A$54,0),MATCH(B11,'Data Collection'!$J$2:$M$2,0))</f>
        <v>25</v>
      </c>
      <c r="H11" s="45">
        <f t="array" ref="H11">INDEX('Data Collection'!$N$2:$Q$54,MATCH(A11,'Data Collection'!$A$2:$A$54,0),MATCH(B11,'Data Collection'!$N$2:$Q$2,0))</f>
        <v>65</v>
      </c>
      <c r="I11" s="45">
        <f t="array" ref="I11">INDEX('Data Collection'!$R$2:$U$54,MATCH(A11,'Data Collection'!$A$2:$A$54,0),MATCH(B11,'Data Collection'!$R$2:$U$2,0))</f>
        <v>30</v>
      </c>
      <c r="J11" s="45">
        <f t="shared" si="3"/>
        <v>40</v>
      </c>
    </row>
    <row r="12" spans="1:16">
      <c r="A12" s="8">
        <f t="array" ref="A12">INDEX('Data Collection'!$A$3:$A$54, INT((ROW()-2)/4)+1)</f>
        <v>3</v>
      </c>
      <c r="B12" s="8" t="str">
        <f t="shared" si="0"/>
        <v>VS-AV</v>
      </c>
      <c r="C12" s="8" t="str">
        <f t="shared" si="1"/>
        <v>Auditory</v>
      </c>
      <c r="D12" s="8" t="str">
        <f t="shared" si="2"/>
        <v>Verbal</v>
      </c>
      <c r="E12" s="8">
        <f t="array" ref="E12">INDEX('Data Collection'!$B$2:$E$54,MATCH(A12,'Data Collection'!$A$2:$A$54,0),MATCH(B12,'Data Collection'!$B$2:$E$2,0))</f>
        <v>73</v>
      </c>
      <c r="F12" s="44" t="str">
        <f t="array" aca="1" ref="F12" ca="1">IFERROR(_xludf.let(cell,INDEX('Data Collection'!$F$2:$I$54,MATCH(A12,'Data Collection'!$A$2:$A$54,0),MATCH(B12,'Data Collection'!$F$2:$I$2,0)),LEFT(cell, FIND("/", cell)-1) / MID(cell, FIND("/", cell)+1, LEN(cell))),"")</f>
        <v/>
      </c>
      <c r="G12" s="45">
        <f t="array" ref="G12">INDEX('Data Collection'!$J$2:$M$54,MATCH(A12,'Data Collection'!$A$2:$A$54,0),MATCH(B12,'Data Collection'!$J$2:$M$2,0))</f>
        <v>10</v>
      </c>
      <c r="H12" s="45">
        <f t="array" ref="H12">INDEX('Data Collection'!$N$2:$Q$54,MATCH(A12,'Data Collection'!$A$2:$A$54,0),MATCH(B12,'Data Collection'!$N$2:$Q$2,0))</f>
        <v>45</v>
      </c>
      <c r="I12" s="45">
        <f t="array" ref="I12">INDEX('Data Collection'!$R$2:$U$54,MATCH(A12,'Data Collection'!$A$2:$A$54,0),MATCH(B12,'Data Collection'!$R$2:$U$2,0))</f>
        <v>25</v>
      </c>
      <c r="J12" s="45">
        <f t="shared" si="3"/>
        <v>26.666666666666668</v>
      </c>
    </row>
    <row r="13" spans="1:16">
      <c r="A13" s="8">
        <f t="array" ref="A13">INDEX('Data Collection'!$A$3:$A$54, INT((ROW()-2)/4)+1)</f>
        <v>3</v>
      </c>
      <c r="B13" s="8" t="str">
        <f t="shared" si="0"/>
        <v>VS-AS</v>
      </c>
      <c r="C13" s="8" t="str">
        <f t="shared" si="1"/>
        <v>Auditory</v>
      </c>
      <c r="D13" s="8" t="str">
        <f t="shared" si="2"/>
        <v>Spatial</v>
      </c>
      <c r="E13" s="8">
        <f t="array" ref="E13">INDEX('Data Collection'!$B$2:$E$54,MATCH(A13,'Data Collection'!$A$2:$A$54,0),MATCH(B13,'Data Collection'!$B$2:$E$2,0))</f>
        <v>76</v>
      </c>
      <c r="F13" s="44" t="str">
        <f t="array" aca="1" ref="F13" ca="1">IFERROR(_xludf.let(cell,INDEX('Data Collection'!$F$2:$I$54,MATCH(A13,'Data Collection'!$A$2:$A$54,0),MATCH(B13,'Data Collection'!$F$2:$I$2,0)),LEFT(cell, FIND("/", cell)-1) / MID(cell, FIND("/", cell)+1, LEN(cell))),"")</f>
        <v/>
      </c>
      <c r="G13" s="45">
        <f t="array" ref="G13">INDEX('Data Collection'!$J$2:$M$54,MATCH(A13,'Data Collection'!$A$2:$A$54,0),MATCH(B13,'Data Collection'!$J$2:$M$2,0))</f>
        <v>5</v>
      </c>
      <c r="H13" s="45">
        <f t="array" ref="H13">INDEX('Data Collection'!$N$2:$Q$54,MATCH(A13,'Data Collection'!$A$2:$A$54,0),MATCH(B13,'Data Collection'!$N$2:$Q$2,0))</f>
        <v>30</v>
      </c>
      <c r="I13" s="45">
        <f t="array" ref="I13">INDEX('Data Collection'!$R$2:$U$54,MATCH(A13,'Data Collection'!$A$2:$A$54,0),MATCH(B13,'Data Collection'!$R$2:$U$2,0))</f>
        <v>15</v>
      </c>
      <c r="J13" s="45">
        <f t="shared" si="3"/>
        <v>16.666666666666668</v>
      </c>
    </row>
    <row r="14" spans="1:16">
      <c r="A14" s="8">
        <f t="array" ref="A14">INDEX('Data Collection'!$A$3:$A$54, INT((ROW()-2)/4)+1)</f>
        <v>4</v>
      </c>
      <c r="B14" s="8" t="str">
        <f t="shared" si="0"/>
        <v>VS-VS</v>
      </c>
      <c r="C14" s="8" t="str">
        <f t="shared" si="1"/>
        <v>Visual</v>
      </c>
      <c r="D14" s="8" t="str">
        <f t="shared" si="2"/>
        <v>Spatial</v>
      </c>
      <c r="E14" s="8">
        <f t="array" ref="E14">INDEX('Data Collection'!$B$2:$E$54,MATCH(A14,'Data Collection'!$A$2:$A$54,0),MATCH(B14,'Data Collection'!$B$2:$E$2,0))</f>
        <v>103</v>
      </c>
      <c r="F14" s="44" t="str">
        <f t="array" aca="1" ref="F14" ca="1">IFERROR(_xludf.let(cell,INDEX('Data Collection'!$F$2:$I$54,MATCH(A14,'Data Collection'!$A$2:$A$54,0),MATCH(B14,'Data Collection'!$F$2:$I$2,0)),LEFT(cell, FIND("/", cell)-1) / MID(cell, FIND("/", cell)+1, LEN(cell))),"")</f>
        <v/>
      </c>
      <c r="G14" s="45">
        <f t="array" ref="G14">INDEX('Data Collection'!$J$2:$M$54,MATCH(A14,'Data Collection'!$A$2:$A$54,0),MATCH(B14,'Data Collection'!$J$2:$M$2,0))</f>
        <v>15</v>
      </c>
      <c r="H14" s="45">
        <f t="array" ref="H14">INDEX('Data Collection'!$N$2:$Q$54,MATCH(A14,'Data Collection'!$A$2:$A$54,0),MATCH(B14,'Data Collection'!$N$2:$Q$2,0))</f>
        <v>55</v>
      </c>
      <c r="I14" s="45">
        <f t="array" ref="I14">INDEX('Data Collection'!$R$2:$U$54,MATCH(A14,'Data Collection'!$A$2:$A$54,0),MATCH(B14,'Data Collection'!$R$2:$U$2,0))</f>
        <v>25</v>
      </c>
      <c r="J14" s="45">
        <f t="shared" si="3"/>
        <v>31.666666666666668</v>
      </c>
    </row>
    <row r="15" spans="1:16">
      <c r="A15" s="8">
        <f t="array" ref="A15">INDEX('Data Collection'!$A$3:$A$54, INT((ROW()-2)/4)+1)</f>
        <v>4</v>
      </c>
      <c r="B15" s="8" t="str">
        <f t="shared" si="0"/>
        <v>VS-VV</v>
      </c>
      <c r="C15" s="8" t="str">
        <f t="shared" si="1"/>
        <v>Visual</v>
      </c>
      <c r="D15" s="8" t="str">
        <f t="shared" si="2"/>
        <v>Verbal</v>
      </c>
      <c r="E15" s="8">
        <f t="array" ref="E15">INDEX('Data Collection'!$B$2:$E$54,MATCH(A15,'Data Collection'!$A$2:$A$54,0),MATCH(B15,'Data Collection'!$B$2:$E$2,0))</f>
        <v>98</v>
      </c>
      <c r="F15" s="44" t="str">
        <f t="array" aca="1" ref="F15" ca="1">IFERROR(_xludf.let(cell,INDEX('Data Collection'!$F$2:$I$54,MATCH(A15,'Data Collection'!$A$2:$A$54,0),MATCH(B15,'Data Collection'!$F$2:$I$2,0)),LEFT(cell, FIND("/", cell)-1) / MID(cell, FIND("/", cell)+1, LEN(cell))),"")</f>
        <v/>
      </c>
      <c r="G15" s="45">
        <f t="array" ref="G15">INDEX('Data Collection'!$J$2:$M$54,MATCH(A15,'Data Collection'!$A$2:$A$54,0),MATCH(B15,'Data Collection'!$J$2:$M$2,0))</f>
        <v>30</v>
      </c>
      <c r="H15" s="45">
        <f t="array" ref="H15">INDEX('Data Collection'!$N$2:$Q$54,MATCH(A15,'Data Collection'!$A$2:$A$54,0),MATCH(B15,'Data Collection'!$N$2:$Q$2,0))</f>
        <v>40</v>
      </c>
      <c r="I15" s="45">
        <f t="array" ref="I15">INDEX('Data Collection'!$R$2:$U$54,MATCH(A15,'Data Collection'!$A$2:$A$54,0),MATCH(B15,'Data Collection'!$R$2:$U$2,0))</f>
        <v>30</v>
      </c>
      <c r="J15" s="45">
        <f t="shared" si="3"/>
        <v>33.333333333333336</v>
      </c>
    </row>
    <row r="16" spans="1:16">
      <c r="A16" s="8">
        <f t="array" ref="A16">INDEX('Data Collection'!$A$3:$A$54, INT((ROW()-2)/4)+1)</f>
        <v>4</v>
      </c>
      <c r="B16" s="8" t="str">
        <f t="shared" si="0"/>
        <v>VS-AV</v>
      </c>
      <c r="C16" s="8" t="str">
        <f t="shared" si="1"/>
        <v>Auditory</v>
      </c>
      <c r="D16" s="8" t="str">
        <f t="shared" si="2"/>
        <v>Verbal</v>
      </c>
      <c r="E16" s="8">
        <f t="array" ref="E16">INDEX('Data Collection'!$B$2:$E$54,MATCH(A16,'Data Collection'!$A$2:$A$54,0),MATCH(B16,'Data Collection'!$B$2:$E$2,0))</f>
        <v>80</v>
      </c>
      <c r="F16" s="44" t="str">
        <f t="array" aca="1" ref="F16" ca="1">IFERROR(_xludf.let(cell,INDEX('Data Collection'!$F$2:$I$54,MATCH(A16,'Data Collection'!$A$2:$A$54,0),MATCH(B16,'Data Collection'!$F$2:$I$2,0)),LEFT(cell, FIND("/", cell)-1) / MID(cell, FIND("/", cell)+1, LEN(cell))),"")</f>
        <v/>
      </c>
      <c r="G16" s="45">
        <f t="array" ref="G16">INDEX('Data Collection'!$J$2:$M$54,MATCH(A16,'Data Collection'!$A$2:$A$54,0),MATCH(B16,'Data Collection'!$J$2:$M$2,0))</f>
        <v>0</v>
      </c>
      <c r="H16" s="45">
        <f t="array" ref="H16">INDEX('Data Collection'!$N$2:$Q$54,MATCH(A16,'Data Collection'!$A$2:$A$54,0),MATCH(B16,'Data Collection'!$N$2:$Q$2,0))</f>
        <v>80</v>
      </c>
      <c r="I16" s="45">
        <f t="array" ref="I16">INDEX('Data Collection'!$R$2:$U$54,MATCH(A16,'Data Collection'!$A$2:$A$54,0),MATCH(B16,'Data Collection'!$R$2:$U$2,0))</f>
        <v>0</v>
      </c>
      <c r="J16" s="45">
        <f t="shared" si="3"/>
        <v>26.666666666666668</v>
      </c>
    </row>
    <row r="17" spans="1:10">
      <c r="A17" s="8">
        <f t="array" ref="A17">INDEX('Data Collection'!$A$3:$A$54, INT((ROW()-2)/4)+1)</f>
        <v>4</v>
      </c>
      <c r="B17" s="8" t="str">
        <f t="shared" si="0"/>
        <v>VS-AS</v>
      </c>
      <c r="C17" s="8" t="str">
        <f t="shared" si="1"/>
        <v>Auditory</v>
      </c>
      <c r="D17" s="8" t="str">
        <f t="shared" si="2"/>
        <v>Spatial</v>
      </c>
      <c r="E17" s="8">
        <f t="array" ref="E17">INDEX('Data Collection'!$B$2:$E$54,MATCH(A17,'Data Collection'!$A$2:$A$54,0),MATCH(B17,'Data Collection'!$B$2:$E$2,0))</f>
        <v>114</v>
      </c>
      <c r="F17" s="44" t="str">
        <f t="array" aca="1" ref="F17" ca="1">IFERROR(_xludf.let(cell,INDEX('Data Collection'!$F$2:$I$54,MATCH(A17,'Data Collection'!$A$2:$A$54,0),MATCH(B17,'Data Collection'!$F$2:$I$2,0)),LEFT(cell, FIND("/", cell)-1) / MID(cell, FIND("/", cell)+1, LEN(cell))),"")</f>
        <v/>
      </c>
      <c r="G17" s="45">
        <f t="array" ref="G17">INDEX('Data Collection'!$J$2:$M$54,MATCH(A17,'Data Collection'!$A$2:$A$54,0),MATCH(B17,'Data Collection'!$J$2:$M$2,0))</f>
        <v>5</v>
      </c>
      <c r="H17" s="45">
        <f t="array" ref="H17">INDEX('Data Collection'!$N$2:$Q$54,MATCH(A17,'Data Collection'!$A$2:$A$54,0),MATCH(B17,'Data Collection'!$N$2:$Q$2,0))</f>
        <v>45</v>
      </c>
      <c r="I17" s="45">
        <f t="array" ref="I17">INDEX('Data Collection'!$R$2:$U$54,MATCH(A17,'Data Collection'!$A$2:$A$54,0),MATCH(B17,'Data Collection'!$R$2:$U$2,0))</f>
        <v>10</v>
      </c>
      <c r="J17" s="45">
        <f t="shared" si="3"/>
        <v>20</v>
      </c>
    </row>
    <row r="18" spans="1:10">
      <c r="A18" s="8">
        <f t="array" ref="A18">INDEX('Data Collection'!$A$3:$A$54, INT((ROW()-2)/4)+1)</f>
        <v>5</v>
      </c>
      <c r="B18" s="8" t="str">
        <f t="shared" si="0"/>
        <v>VS-VS</v>
      </c>
      <c r="C18" s="8" t="str">
        <f t="shared" si="1"/>
        <v>Visual</v>
      </c>
      <c r="D18" s="8" t="str">
        <f t="shared" si="2"/>
        <v>Spatial</v>
      </c>
      <c r="E18" s="8">
        <f t="array" ref="E18">INDEX('Data Collection'!$B$2:$E$54,MATCH(A18,'Data Collection'!$A$2:$A$54,0),MATCH(B18,'Data Collection'!$B$2:$E$2,0))</f>
        <v>170</v>
      </c>
      <c r="F18" s="44" t="str">
        <f t="array" aca="1" ref="F18" ca="1">IFERROR(_xludf.let(cell,INDEX('Data Collection'!$F$2:$I$54,MATCH(A18,'Data Collection'!$A$2:$A$54,0),MATCH(B18,'Data Collection'!$F$2:$I$2,0)),LEFT(cell, FIND("/", cell)-1) / MID(cell, FIND("/", cell)+1, LEN(cell))),"")</f>
        <v/>
      </c>
      <c r="G18" s="45">
        <f t="array" ref="G18">INDEX('Data Collection'!$J$2:$M$54,MATCH(A18,'Data Collection'!$A$2:$A$54,0),MATCH(B18,'Data Collection'!$J$2:$M$2,0))</f>
        <v>40</v>
      </c>
      <c r="H18" s="45">
        <f t="array" ref="H18">INDEX('Data Collection'!$N$2:$Q$54,MATCH(A18,'Data Collection'!$A$2:$A$54,0),MATCH(B18,'Data Collection'!$N$2:$Q$2,0))</f>
        <v>45</v>
      </c>
      <c r="I18" s="45">
        <f t="array" ref="I18">INDEX('Data Collection'!$R$2:$U$54,MATCH(A18,'Data Collection'!$A$2:$A$54,0),MATCH(B18,'Data Collection'!$R$2:$U$2,0))</f>
        <v>45</v>
      </c>
      <c r="J18" s="45">
        <f t="shared" si="3"/>
        <v>43.333333333333336</v>
      </c>
    </row>
    <row r="19" spans="1:10">
      <c r="A19" s="8">
        <f t="array" ref="A19">INDEX('Data Collection'!$A$3:$A$54, INT((ROW()-2)/4)+1)</f>
        <v>5</v>
      </c>
      <c r="B19" s="8" t="str">
        <f t="shared" si="0"/>
        <v>VS-VV</v>
      </c>
      <c r="C19" s="8" t="str">
        <f t="shared" si="1"/>
        <v>Visual</v>
      </c>
      <c r="D19" s="8" t="str">
        <f t="shared" si="2"/>
        <v>Verbal</v>
      </c>
      <c r="E19" s="8">
        <f t="array" ref="E19">INDEX('Data Collection'!$B$2:$E$54,MATCH(A19,'Data Collection'!$A$2:$A$54,0),MATCH(B19,'Data Collection'!$B$2:$E$2,0))</f>
        <v>241</v>
      </c>
      <c r="F19" s="44" t="str">
        <f t="array" aca="1" ref="F19" ca="1">IFERROR(_xludf.let(cell,INDEX('Data Collection'!$F$2:$I$54,MATCH(A19,'Data Collection'!$A$2:$A$54,0),MATCH(B19,'Data Collection'!$F$2:$I$2,0)),LEFT(cell, FIND("/", cell)-1) / MID(cell, FIND("/", cell)+1, LEN(cell))),"")</f>
        <v/>
      </c>
      <c r="G19" s="45">
        <f t="array" ref="G19">INDEX('Data Collection'!$J$2:$M$54,MATCH(A19,'Data Collection'!$A$2:$A$54,0),MATCH(B19,'Data Collection'!$J$2:$M$2,0))</f>
        <v>75</v>
      </c>
      <c r="H19" s="45">
        <f t="array" ref="H19">INDEX('Data Collection'!$N$2:$Q$54,MATCH(A19,'Data Collection'!$A$2:$A$54,0),MATCH(B19,'Data Collection'!$N$2:$Q$2,0))</f>
        <v>40</v>
      </c>
      <c r="I19" s="45">
        <f t="array" ref="I19">INDEX('Data Collection'!$R$2:$U$54,MATCH(A19,'Data Collection'!$A$2:$A$54,0),MATCH(B19,'Data Collection'!$R$2:$U$2,0))</f>
        <v>65</v>
      </c>
      <c r="J19" s="45">
        <f t="shared" si="3"/>
        <v>60</v>
      </c>
    </row>
    <row r="20" spans="1:10">
      <c r="A20" s="8">
        <f t="array" ref="A20">INDEX('Data Collection'!$A$3:$A$54, INT((ROW()-2)/4)+1)</f>
        <v>5</v>
      </c>
      <c r="B20" s="8" t="str">
        <f t="shared" si="0"/>
        <v>VS-AV</v>
      </c>
      <c r="C20" s="8" t="str">
        <f t="shared" si="1"/>
        <v>Auditory</v>
      </c>
      <c r="D20" s="8" t="str">
        <f t="shared" si="2"/>
        <v>Verbal</v>
      </c>
      <c r="E20" s="8">
        <f t="array" ref="E20">INDEX('Data Collection'!$B$2:$E$54,MATCH(A20,'Data Collection'!$A$2:$A$54,0),MATCH(B20,'Data Collection'!$B$2:$E$2,0))</f>
        <v>174</v>
      </c>
      <c r="F20" s="44" t="str">
        <f t="array" aca="1" ref="F20" ca="1">IFERROR(_xludf.let(cell,INDEX('Data Collection'!$F$2:$I$54,MATCH(A20,'Data Collection'!$A$2:$A$54,0),MATCH(B20,'Data Collection'!$F$2:$I$2,0)),LEFT(cell, FIND("/", cell)-1) / MID(cell, FIND("/", cell)+1, LEN(cell))),"")</f>
        <v/>
      </c>
      <c r="G20" s="45">
        <f t="array" ref="G20">INDEX('Data Collection'!$J$2:$M$54,MATCH(A20,'Data Collection'!$A$2:$A$54,0),MATCH(B20,'Data Collection'!$J$2:$M$2,0))</f>
        <v>80</v>
      </c>
      <c r="H20" s="45">
        <f t="array" ref="H20">INDEX('Data Collection'!$N$2:$Q$54,MATCH(A20,'Data Collection'!$A$2:$A$54,0),MATCH(B20,'Data Collection'!$N$2:$Q$2,0))</f>
        <v>35</v>
      </c>
      <c r="I20" s="45">
        <f t="array" ref="I20">INDEX('Data Collection'!$R$2:$U$54,MATCH(A20,'Data Collection'!$A$2:$A$54,0),MATCH(B20,'Data Collection'!$R$2:$U$2,0))</f>
        <v>65</v>
      </c>
      <c r="J20" s="45">
        <f t="shared" si="3"/>
        <v>60</v>
      </c>
    </row>
    <row r="21" spans="1:10">
      <c r="A21" s="8">
        <f t="array" ref="A21">INDEX('Data Collection'!$A$3:$A$54, INT((ROW()-2)/4)+1)</f>
        <v>5</v>
      </c>
      <c r="B21" s="8" t="str">
        <f t="shared" si="0"/>
        <v>VS-AS</v>
      </c>
      <c r="C21" s="8" t="str">
        <f t="shared" si="1"/>
        <v>Auditory</v>
      </c>
      <c r="D21" s="8" t="str">
        <f t="shared" si="2"/>
        <v>Spatial</v>
      </c>
      <c r="E21" s="8">
        <f t="array" ref="E21">INDEX('Data Collection'!$B$2:$E$54,MATCH(A21,'Data Collection'!$A$2:$A$54,0),MATCH(B21,'Data Collection'!$B$2:$E$2,0))</f>
        <v>172</v>
      </c>
      <c r="F21" s="44" t="str">
        <f t="array" aca="1" ref="F21" ca="1">IFERROR(_xludf.let(cell,INDEX('Data Collection'!$F$2:$I$54,MATCH(A21,'Data Collection'!$A$2:$A$54,0),MATCH(B21,'Data Collection'!$F$2:$I$2,0)),LEFT(cell, FIND("/", cell)-1) / MID(cell, FIND("/", cell)+1, LEN(cell))),"")</f>
        <v/>
      </c>
      <c r="G21" s="45">
        <f t="array" ref="G21">INDEX('Data Collection'!$J$2:$M$54,MATCH(A21,'Data Collection'!$A$2:$A$54,0),MATCH(B21,'Data Collection'!$J$2:$M$2,0))</f>
        <v>40</v>
      </c>
      <c r="H21" s="45">
        <f t="array" ref="H21">INDEX('Data Collection'!$N$2:$Q$54,MATCH(A21,'Data Collection'!$A$2:$A$54,0),MATCH(B21,'Data Collection'!$N$2:$Q$2,0))</f>
        <v>60</v>
      </c>
      <c r="I21" s="45">
        <f t="array" ref="I21">INDEX('Data Collection'!$R$2:$U$54,MATCH(A21,'Data Collection'!$A$2:$A$54,0),MATCH(B21,'Data Collection'!$R$2:$U$2,0))</f>
        <v>35</v>
      </c>
      <c r="J21" s="45">
        <f t="shared" si="3"/>
        <v>45</v>
      </c>
    </row>
    <row r="22" spans="1:10">
      <c r="A22" s="8">
        <f t="array" ref="A22">INDEX('Data Collection'!$A$3:$A$54, INT((ROW()-2)/4)+1)</f>
        <v>6</v>
      </c>
      <c r="B22" s="8" t="str">
        <f t="shared" si="0"/>
        <v>VS-VS</v>
      </c>
      <c r="C22" s="8" t="str">
        <f t="shared" si="1"/>
        <v>Visual</v>
      </c>
      <c r="D22" s="8" t="str">
        <f t="shared" si="2"/>
        <v>Spatial</v>
      </c>
      <c r="E22" s="8">
        <f t="array" ref="E22">INDEX('Data Collection'!$B$2:$E$54,MATCH(A22,'Data Collection'!$A$2:$A$54,0),MATCH(B22,'Data Collection'!$B$2:$E$2,0))</f>
        <v>63</v>
      </c>
      <c r="F22" s="44" t="str">
        <f t="array" aca="1" ref="F22" ca="1">IFERROR(_xludf.let(cell,INDEX('Data Collection'!$F$2:$I$54,MATCH(A22,'Data Collection'!$A$2:$A$54,0),MATCH(B22,'Data Collection'!$F$2:$I$2,0)),LEFT(cell, FIND("/", cell)-1) / MID(cell, FIND("/", cell)+1, LEN(cell))),"")</f>
        <v/>
      </c>
      <c r="G22" s="45">
        <f t="array" ref="G22">INDEX('Data Collection'!$J$2:$M$54,MATCH(A22,'Data Collection'!$A$2:$A$54,0),MATCH(B22,'Data Collection'!$J$2:$M$2,0))</f>
        <v>15</v>
      </c>
      <c r="H22" s="45">
        <f t="array" ref="H22">INDEX('Data Collection'!$N$2:$Q$54,MATCH(A22,'Data Collection'!$A$2:$A$54,0),MATCH(B22,'Data Collection'!$N$2:$Q$2,0))</f>
        <v>30</v>
      </c>
      <c r="I22" s="45">
        <f t="array" ref="I22">INDEX('Data Collection'!$R$2:$U$54,MATCH(A22,'Data Collection'!$A$2:$A$54,0),MATCH(B22,'Data Collection'!$R$2:$U$2,0))</f>
        <v>75</v>
      </c>
      <c r="J22" s="45">
        <f t="shared" si="3"/>
        <v>40</v>
      </c>
    </row>
    <row r="23" spans="1:10">
      <c r="A23" s="8">
        <f t="array" ref="A23">INDEX('Data Collection'!$A$3:$A$54, INT((ROW()-2)/4)+1)</f>
        <v>6</v>
      </c>
      <c r="B23" s="8" t="str">
        <f t="shared" si="0"/>
        <v>VS-VV</v>
      </c>
      <c r="C23" s="8" t="str">
        <f t="shared" si="1"/>
        <v>Visual</v>
      </c>
      <c r="D23" s="8" t="str">
        <f t="shared" si="2"/>
        <v>Verbal</v>
      </c>
      <c r="E23" s="8">
        <f t="array" ref="E23">INDEX('Data Collection'!$B$2:$E$54,MATCH(A23,'Data Collection'!$A$2:$A$54,0),MATCH(B23,'Data Collection'!$B$2:$E$2,0))</f>
        <v>61</v>
      </c>
      <c r="F23" s="44" t="str">
        <f t="array" aca="1" ref="F23" ca="1">IFERROR(_xludf.let(cell,INDEX('Data Collection'!$F$2:$I$54,MATCH(A23,'Data Collection'!$A$2:$A$54,0),MATCH(B23,'Data Collection'!$F$2:$I$2,0)),LEFT(cell, FIND("/", cell)-1) / MID(cell, FIND("/", cell)+1, LEN(cell))),"")</f>
        <v/>
      </c>
      <c r="G23" s="45">
        <f t="array" ref="G23">INDEX('Data Collection'!$J$2:$M$54,MATCH(A23,'Data Collection'!$A$2:$A$54,0),MATCH(B23,'Data Collection'!$J$2:$M$2,0))</f>
        <v>15</v>
      </c>
      <c r="H23" s="45">
        <f t="array" ref="H23">INDEX('Data Collection'!$N$2:$Q$54,MATCH(A23,'Data Collection'!$A$2:$A$54,0),MATCH(B23,'Data Collection'!$N$2:$Q$2,0))</f>
        <v>75</v>
      </c>
      <c r="I23" s="45">
        <f t="array" ref="I23">INDEX('Data Collection'!$R$2:$U$54,MATCH(A23,'Data Collection'!$A$2:$A$54,0),MATCH(B23,'Data Collection'!$R$2:$U$2,0))</f>
        <v>30</v>
      </c>
      <c r="J23" s="45">
        <f t="shared" si="3"/>
        <v>40</v>
      </c>
    </row>
    <row r="24" spans="1:10">
      <c r="A24" s="8">
        <f t="array" ref="A24">INDEX('Data Collection'!$A$3:$A$54, INT((ROW()-2)/4)+1)</f>
        <v>6</v>
      </c>
      <c r="B24" s="8" t="str">
        <f t="shared" si="0"/>
        <v>VS-AV</v>
      </c>
      <c r="C24" s="8" t="str">
        <f t="shared" si="1"/>
        <v>Auditory</v>
      </c>
      <c r="D24" s="8" t="str">
        <f t="shared" si="2"/>
        <v>Verbal</v>
      </c>
      <c r="E24" s="8">
        <f t="array" ref="E24">INDEX('Data Collection'!$B$2:$E$54,MATCH(A24,'Data Collection'!$A$2:$A$54,0),MATCH(B24,'Data Collection'!$B$2:$E$2,0))</f>
        <v>45</v>
      </c>
      <c r="F24" s="44" t="str">
        <f t="array" aca="1" ref="F24" ca="1">IFERROR(_xludf.let(cell,INDEX('Data Collection'!$F$2:$I$54,MATCH(A24,'Data Collection'!$A$2:$A$54,0),MATCH(B24,'Data Collection'!$F$2:$I$2,0)),LEFT(cell, FIND("/", cell)-1) / MID(cell, FIND("/", cell)+1, LEN(cell))),"")</f>
        <v/>
      </c>
      <c r="G24" s="45">
        <f t="array" ref="G24">INDEX('Data Collection'!$J$2:$M$54,MATCH(A24,'Data Collection'!$A$2:$A$54,0),MATCH(B24,'Data Collection'!$J$2:$M$2,0))</f>
        <v>30</v>
      </c>
      <c r="H24" s="45">
        <f t="array" ref="H24">INDEX('Data Collection'!$N$2:$Q$54,MATCH(A24,'Data Collection'!$A$2:$A$54,0),MATCH(B24,'Data Collection'!$N$2:$Q$2,0))</f>
        <v>10</v>
      </c>
      <c r="I24" s="45">
        <f t="array" ref="I24">INDEX('Data Collection'!$R$2:$U$54,MATCH(A24,'Data Collection'!$A$2:$A$54,0),MATCH(B24,'Data Collection'!$R$2:$U$2,0))</f>
        <v>65</v>
      </c>
      <c r="J24" s="45">
        <f t="shared" si="3"/>
        <v>35</v>
      </c>
    </row>
    <row r="25" spans="1:10">
      <c r="A25" s="8">
        <f t="array" ref="A25">INDEX('Data Collection'!$A$3:$A$54, INT((ROW()-2)/4)+1)</f>
        <v>6</v>
      </c>
      <c r="B25" s="8" t="str">
        <f t="shared" si="0"/>
        <v>VS-AS</v>
      </c>
      <c r="C25" s="8" t="str">
        <f t="shared" si="1"/>
        <v>Auditory</v>
      </c>
      <c r="D25" s="8" t="str">
        <f t="shared" si="2"/>
        <v>Spatial</v>
      </c>
      <c r="E25" s="8">
        <f t="array" ref="E25">INDEX('Data Collection'!$B$2:$E$54,MATCH(A25,'Data Collection'!$A$2:$A$54,0),MATCH(B25,'Data Collection'!$B$2:$E$2,0))</f>
        <v>53</v>
      </c>
      <c r="F25" s="44" t="str">
        <f t="array" aca="1" ref="F25" ca="1">IFERROR(_xludf.let(cell,INDEX('Data Collection'!$F$2:$I$54,MATCH(A25,'Data Collection'!$A$2:$A$54,0),MATCH(B25,'Data Collection'!$F$2:$I$2,0)),LEFT(cell, FIND("/", cell)-1) / MID(cell, FIND("/", cell)+1, LEN(cell))),"")</f>
        <v/>
      </c>
      <c r="G25" s="45">
        <f t="array" ref="G25">INDEX('Data Collection'!$J$2:$M$54,MATCH(A25,'Data Collection'!$A$2:$A$54,0),MATCH(B25,'Data Collection'!$J$2:$M$2,0))</f>
        <v>65</v>
      </c>
      <c r="H25" s="45">
        <f t="array" ref="H25">INDEX('Data Collection'!$N$2:$Q$54,MATCH(A25,'Data Collection'!$A$2:$A$54,0),MATCH(B25,'Data Collection'!$N$2:$Q$2,0))</f>
        <v>35</v>
      </c>
      <c r="I25" s="45">
        <f t="array" ref="I25">INDEX('Data Collection'!$R$2:$U$54,MATCH(A25,'Data Collection'!$A$2:$A$54,0),MATCH(B25,'Data Collection'!$R$2:$U$2,0))</f>
        <v>60</v>
      </c>
      <c r="J25" s="45">
        <f t="shared" si="3"/>
        <v>53.333333333333336</v>
      </c>
    </row>
    <row r="26" spans="1:10">
      <c r="A26" s="8">
        <f t="array" ref="A26">INDEX('Data Collection'!$A$3:$A$54, INT((ROW()-2)/4)+1)</f>
        <v>7</v>
      </c>
      <c r="B26" s="8" t="str">
        <f t="shared" si="0"/>
        <v>VS-VS</v>
      </c>
      <c r="C26" s="8" t="str">
        <f t="shared" si="1"/>
        <v>Visual</v>
      </c>
      <c r="D26" s="8" t="str">
        <f t="shared" si="2"/>
        <v>Spatial</v>
      </c>
      <c r="E26" s="8">
        <f t="array" ref="E26">INDEX('Data Collection'!$B$2:$E$54,MATCH(A26,'Data Collection'!$A$2:$A$54,0),MATCH(B26,'Data Collection'!$B$2:$E$2,0))</f>
        <v>122</v>
      </c>
      <c r="F26" s="44" t="str">
        <f t="array" aca="1" ref="F26" ca="1">IFERROR(_xludf.let(cell,INDEX('Data Collection'!$F$2:$I$54,MATCH(A26,'Data Collection'!$A$2:$A$54,0),MATCH(B26,'Data Collection'!$F$2:$I$2,0)),LEFT(cell, FIND("/", cell)-1) / MID(cell, FIND("/", cell)+1, LEN(cell))),"")</f>
        <v/>
      </c>
      <c r="G26" s="45">
        <f t="array" ref="G26">INDEX('Data Collection'!$J$2:$M$54,MATCH(A26,'Data Collection'!$A$2:$A$54,0),MATCH(B26,'Data Collection'!$J$2:$M$2,0))</f>
        <v>55</v>
      </c>
      <c r="H26" s="45">
        <f t="array" ref="H26">INDEX('Data Collection'!$N$2:$Q$54,MATCH(A26,'Data Collection'!$A$2:$A$54,0),MATCH(B26,'Data Collection'!$N$2:$Q$2,0))</f>
        <v>80</v>
      </c>
      <c r="I26" s="45">
        <f t="array" ref="I26">INDEX('Data Collection'!$R$2:$U$54,MATCH(A26,'Data Collection'!$A$2:$A$54,0),MATCH(B26,'Data Collection'!$R$2:$U$2,0))</f>
        <v>45</v>
      </c>
      <c r="J26" s="45">
        <f t="shared" si="3"/>
        <v>60</v>
      </c>
    </row>
    <row r="27" spans="1:10">
      <c r="A27" s="8">
        <f t="array" ref="A27">INDEX('Data Collection'!$A$3:$A$54, INT((ROW()-2)/4)+1)</f>
        <v>7</v>
      </c>
      <c r="B27" s="8" t="str">
        <f t="shared" si="0"/>
        <v>VS-VV</v>
      </c>
      <c r="C27" s="8" t="str">
        <f t="shared" si="1"/>
        <v>Visual</v>
      </c>
      <c r="D27" s="8" t="str">
        <f t="shared" si="2"/>
        <v>Verbal</v>
      </c>
      <c r="E27" s="8">
        <f t="array" ref="E27">INDEX('Data Collection'!$B$2:$E$54,MATCH(A27,'Data Collection'!$A$2:$A$54,0),MATCH(B27,'Data Collection'!$B$2:$E$2,0))</f>
        <v>119</v>
      </c>
      <c r="F27" s="44" t="str">
        <f t="array" aca="1" ref="F27" ca="1">IFERROR(_xludf.let(cell,INDEX('Data Collection'!$F$2:$I$54,MATCH(A27,'Data Collection'!$A$2:$A$54,0),MATCH(B27,'Data Collection'!$F$2:$I$2,0)),LEFT(cell, FIND("/", cell)-1) / MID(cell, FIND("/", cell)+1, LEN(cell))),"")</f>
        <v/>
      </c>
      <c r="G27" s="45">
        <f t="array" ref="G27">INDEX('Data Collection'!$J$2:$M$54,MATCH(A27,'Data Collection'!$A$2:$A$54,0),MATCH(B27,'Data Collection'!$J$2:$M$2,0))</f>
        <v>45</v>
      </c>
      <c r="H27" s="45">
        <f t="array" ref="H27">INDEX('Data Collection'!$N$2:$Q$54,MATCH(A27,'Data Collection'!$A$2:$A$54,0),MATCH(B27,'Data Collection'!$N$2:$Q$2,0))</f>
        <v>35</v>
      </c>
      <c r="I27" s="45">
        <f t="array" ref="I27">INDEX('Data Collection'!$R$2:$U$54,MATCH(A27,'Data Collection'!$A$2:$A$54,0),MATCH(B27,'Data Collection'!$R$2:$U$2,0))</f>
        <v>40</v>
      </c>
      <c r="J27" s="45">
        <f t="shared" si="3"/>
        <v>40</v>
      </c>
    </row>
    <row r="28" spans="1:10">
      <c r="A28" s="8">
        <f t="array" ref="A28">INDEX('Data Collection'!$A$3:$A$54, INT((ROW()-2)/4)+1)</f>
        <v>7</v>
      </c>
      <c r="B28" s="8" t="str">
        <f t="shared" si="0"/>
        <v>VS-AV</v>
      </c>
      <c r="C28" s="8" t="str">
        <f t="shared" si="1"/>
        <v>Auditory</v>
      </c>
      <c r="D28" s="8" t="str">
        <f t="shared" si="2"/>
        <v>Verbal</v>
      </c>
      <c r="E28" s="8">
        <f t="array" ref="E28">INDEX('Data Collection'!$B$2:$E$54,MATCH(A28,'Data Collection'!$A$2:$A$54,0),MATCH(B28,'Data Collection'!$B$2:$E$2,0))</f>
        <v>177</v>
      </c>
      <c r="F28" s="44" t="str">
        <f t="array" aca="1" ref="F28" ca="1">IFERROR(_xludf.let(cell,INDEX('Data Collection'!$F$2:$I$54,MATCH(A28,'Data Collection'!$A$2:$A$54,0),MATCH(B28,'Data Collection'!$F$2:$I$2,0)),LEFT(cell, FIND("/", cell)-1) / MID(cell, FIND("/", cell)+1, LEN(cell))),"")</f>
        <v/>
      </c>
      <c r="G28" s="45">
        <f t="array" ref="G28">INDEX('Data Collection'!$J$2:$M$54,MATCH(A28,'Data Collection'!$A$2:$A$54,0),MATCH(B28,'Data Collection'!$J$2:$M$2,0))</f>
        <v>65</v>
      </c>
      <c r="H28" s="45">
        <f t="array" ref="H28">INDEX('Data Collection'!$N$2:$Q$54,MATCH(A28,'Data Collection'!$A$2:$A$54,0),MATCH(B28,'Data Collection'!$N$2:$Q$2,0))</f>
        <v>35</v>
      </c>
      <c r="I28" s="45">
        <f t="array" ref="I28">INDEX('Data Collection'!$R$2:$U$54,MATCH(A28,'Data Collection'!$A$2:$A$54,0),MATCH(B28,'Data Collection'!$R$2:$U$2,0))</f>
        <v>45</v>
      </c>
      <c r="J28" s="45">
        <f t="shared" si="3"/>
        <v>48.333333333333336</v>
      </c>
    </row>
    <row r="29" spans="1:10">
      <c r="A29" s="8">
        <f t="array" ref="A29">INDEX('Data Collection'!$A$3:$A$54, INT((ROW()-2)/4)+1)</f>
        <v>7</v>
      </c>
      <c r="B29" s="8" t="str">
        <f t="shared" si="0"/>
        <v>VS-AS</v>
      </c>
      <c r="C29" s="8" t="str">
        <f t="shared" si="1"/>
        <v>Auditory</v>
      </c>
      <c r="D29" s="8" t="str">
        <f t="shared" si="2"/>
        <v>Spatial</v>
      </c>
      <c r="E29" s="8">
        <f t="array" ref="E29">INDEX('Data Collection'!$B$2:$E$54,MATCH(A29,'Data Collection'!$A$2:$A$54,0),MATCH(B29,'Data Collection'!$B$2:$E$2,0))</f>
        <v>131</v>
      </c>
      <c r="F29" s="44" t="str">
        <f t="array" aca="1" ref="F29" ca="1">IFERROR(_xludf.let(cell,INDEX('Data Collection'!$F$2:$I$54,MATCH(A29,'Data Collection'!$A$2:$A$54,0),MATCH(B29,'Data Collection'!$F$2:$I$2,0)),LEFT(cell, FIND("/", cell)-1) / MID(cell, FIND("/", cell)+1, LEN(cell))),"")</f>
        <v/>
      </c>
      <c r="G29" s="45">
        <f t="array" ref="G29">INDEX('Data Collection'!$J$2:$M$54,MATCH(A29,'Data Collection'!$A$2:$A$54,0),MATCH(B29,'Data Collection'!$J$2:$M$2,0))</f>
        <v>60</v>
      </c>
      <c r="H29" s="45">
        <f t="array" ref="H29">INDEX('Data Collection'!$N$2:$Q$54,MATCH(A29,'Data Collection'!$A$2:$A$54,0),MATCH(B29,'Data Collection'!$N$2:$Q$2,0))</f>
        <v>45</v>
      </c>
      <c r="I29" s="45">
        <f t="array" ref="I29">INDEX('Data Collection'!$R$2:$U$54,MATCH(A29,'Data Collection'!$A$2:$A$54,0),MATCH(B29,'Data Collection'!$R$2:$U$2,0))</f>
        <v>55</v>
      </c>
      <c r="J29" s="45">
        <f t="shared" si="3"/>
        <v>53.333333333333336</v>
      </c>
    </row>
    <row r="30" spans="1:10">
      <c r="A30" s="8">
        <f t="array" ref="A30">INDEX('Data Collection'!$A$3:$A$54, INT((ROW()-2)/4)+1)</f>
        <v>8</v>
      </c>
      <c r="B30" s="8" t="str">
        <f t="shared" si="0"/>
        <v>VS-VS</v>
      </c>
      <c r="C30" s="8" t="str">
        <f t="shared" si="1"/>
        <v>Visual</v>
      </c>
      <c r="D30" s="8" t="str">
        <f t="shared" si="2"/>
        <v>Spatial</v>
      </c>
      <c r="E30" s="8">
        <f t="array" ref="E30">INDEX('Data Collection'!$B$2:$E$54,MATCH(A30,'Data Collection'!$A$2:$A$54,0),MATCH(B30,'Data Collection'!$B$2:$E$2,0))</f>
        <v>70</v>
      </c>
      <c r="F30" s="44" t="str">
        <f t="array" aca="1" ref="F30" ca="1">IFERROR(_xludf.let(cell,INDEX('Data Collection'!$F$2:$I$54,MATCH(A30,'Data Collection'!$A$2:$A$54,0),MATCH(B30,'Data Collection'!$F$2:$I$2,0)),LEFT(cell, FIND("/", cell)-1) / MID(cell, FIND("/", cell)+1, LEN(cell))),"")</f>
        <v/>
      </c>
      <c r="G30" s="45">
        <f t="array" ref="G30">INDEX('Data Collection'!$J$2:$M$54,MATCH(A30,'Data Collection'!$A$2:$A$54,0),MATCH(B30,'Data Collection'!$J$2:$M$2,0))</f>
        <v>30</v>
      </c>
      <c r="H30" s="45">
        <f t="array" ref="H30">INDEX('Data Collection'!$N$2:$Q$54,MATCH(A30,'Data Collection'!$A$2:$A$54,0),MATCH(B30,'Data Collection'!$N$2:$Q$2,0))</f>
        <v>20</v>
      </c>
      <c r="I30" s="45">
        <f t="array" ref="I30">INDEX('Data Collection'!$R$2:$U$54,MATCH(A30,'Data Collection'!$A$2:$A$54,0),MATCH(B30,'Data Collection'!$R$2:$U$2,0))</f>
        <v>60</v>
      </c>
      <c r="J30" s="45">
        <f t="shared" si="3"/>
        <v>36.666666666666664</v>
      </c>
    </row>
    <row r="31" spans="1:10">
      <c r="A31" s="8">
        <f t="array" ref="A31">INDEX('Data Collection'!$A$3:$A$54, INT((ROW()-2)/4)+1)</f>
        <v>8</v>
      </c>
      <c r="B31" s="8" t="str">
        <f t="shared" si="0"/>
        <v>VS-VV</v>
      </c>
      <c r="C31" s="8" t="str">
        <f t="shared" si="1"/>
        <v>Visual</v>
      </c>
      <c r="D31" s="8" t="str">
        <f t="shared" si="2"/>
        <v>Verbal</v>
      </c>
      <c r="E31" s="8">
        <f t="array" ref="E31">INDEX('Data Collection'!$B$2:$E$54,MATCH(A31,'Data Collection'!$A$2:$A$54,0),MATCH(B31,'Data Collection'!$B$2:$E$2,0))</f>
        <v>79</v>
      </c>
      <c r="F31" s="44" t="str">
        <f t="array" aca="1" ref="F31" ca="1">IFERROR(_xludf.let(cell,INDEX('Data Collection'!$F$2:$I$54,MATCH(A31,'Data Collection'!$A$2:$A$54,0),MATCH(B31,'Data Collection'!$F$2:$I$2,0)),LEFT(cell, FIND("/", cell)-1) / MID(cell, FIND("/", cell)+1, LEN(cell))),"")</f>
        <v/>
      </c>
      <c r="G31" s="45">
        <f t="array" ref="G31">INDEX('Data Collection'!$J$2:$M$54,MATCH(A31,'Data Collection'!$A$2:$A$54,0),MATCH(B31,'Data Collection'!$J$2:$M$2,0))</f>
        <v>70</v>
      </c>
      <c r="H31" s="45">
        <f t="array" ref="H31">INDEX('Data Collection'!$N$2:$Q$54,MATCH(A31,'Data Collection'!$A$2:$A$54,0),MATCH(B31,'Data Collection'!$N$2:$Q$2,0))</f>
        <v>20</v>
      </c>
      <c r="I31" s="45">
        <f t="array" ref="I31">INDEX('Data Collection'!$R$2:$U$54,MATCH(A31,'Data Collection'!$A$2:$A$54,0),MATCH(B31,'Data Collection'!$R$2:$U$2,0))</f>
        <v>35</v>
      </c>
      <c r="J31" s="45">
        <f t="shared" si="3"/>
        <v>41.666666666666664</v>
      </c>
    </row>
    <row r="32" spans="1:10">
      <c r="A32" s="8">
        <f t="array" ref="A32">INDEX('Data Collection'!$A$3:$A$54, INT((ROW()-2)/4)+1)</f>
        <v>8</v>
      </c>
      <c r="B32" s="8" t="str">
        <f t="shared" si="0"/>
        <v>VS-AV</v>
      </c>
      <c r="C32" s="8" t="str">
        <f t="shared" si="1"/>
        <v>Auditory</v>
      </c>
      <c r="D32" s="8" t="str">
        <f t="shared" si="2"/>
        <v>Verbal</v>
      </c>
      <c r="E32" s="8">
        <f t="array" ref="E32">INDEX('Data Collection'!$B$2:$E$54,MATCH(A32,'Data Collection'!$A$2:$A$54,0),MATCH(B32,'Data Collection'!$B$2:$E$2,0))</f>
        <v>56</v>
      </c>
      <c r="F32" s="44" t="str">
        <f t="array" aca="1" ref="F32" ca="1">IFERROR(_xludf.let(cell,INDEX('Data Collection'!$F$2:$I$54,MATCH(A32,'Data Collection'!$A$2:$A$54,0),MATCH(B32,'Data Collection'!$F$2:$I$2,0)),LEFT(cell, FIND("/", cell)-1) / MID(cell, FIND("/", cell)+1, LEN(cell))),"")</f>
        <v/>
      </c>
      <c r="G32" s="45">
        <f t="array" ref="G32">INDEX('Data Collection'!$J$2:$M$54,MATCH(A32,'Data Collection'!$A$2:$A$54,0),MATCH(B32,'Data Collection'!$J$2:$M$2,0))</f>
        <v>70</v>
      </c>
      <c r="H32" s="45">
        <f t="array" ref="H32">INDEX('Data Collection'!$N$2:$Q$54,MATCH(A32,'Data Collection'!$A$2:$A$54,0),MATCH(B32,'Data Collection'!$N$2:$Q$2,0))</f>
        <v>15</v>
      </c>
      <c r="I32" s="45">
        <f t="array" ref="I32">INDEX('Data Collection'!$R$2:$U$54,MATCH(A32,'Data Collection'!$A$2:$A$54,0),MATCH(B32,'Data Collection'!$R$2:$U$2,0))</f>
        <v>80</v>
      </c>
      <c r="J32" s="45">
        <f t="shared" si="3"/>
        <v>55</v>
      </c>
    </row>
    <row r="33" spans="1:10">
      <c r="A33" s="8">
        <f t="array" ref="A33">INDEX('Data Collection'!$A$3:$A$54, INT((ROW()-2)/4)+1)</f>
        <v>8</v>
      </c>
      <c r="B33" s="8" t="str">
        <f t="shared" si="0"/>
        <v>VS-AS</v>
      </c>
      <c r="C33" s="8" t="str">
        <f t="shared" si="1"/>
        <v>Auditory</v>
      </c>
      <c r="D33" s="8" t="str">
        <f t="shared" si="2"/>
        <v>Spatial</v>
      </c>
      <c r="E33" s="8">
        <f t="array" ref="E33">INDEX('Data Collection'!$B$2:$E$54,MATCH(A33,'Data Collection'!$A$2:$A$54,0),MATCH(B33,'Data Collection'!$B$2:$E$2,0))</f>
        <v>59</v>
      </c>
      <c r="F33" s="44" t="str">
        <f t="array" aca="1" ref="F33" ca="1">IFERROR(_xludf.let(cell,INDEX('Data Collection'!$F$2:$I$54,MATCH(A33,'Data Collection'!$A$2:$A$54,0),MATCH(B33,'Data Collection'!$F$2:$I$2,0)),LEFT(cell, FIND("/", cell)-1) / MID(cell, FIND("/", cell)+1, LEN(cell))),"")</f>
        <v/>
      </c>
      <c r="G33" s="45">
        <f t="array" ref="G33">INDEX('Data Collection'!$J$2:$M$54,MATCH(A33,'Data Collection'!$A$2:$A$54,0),MATCH(B33,'Data Collection'!$J$2:$M$2,0))</f>
        <v>20</v>
      </c>
      <c r="H33" s="45">
        <f t="array" ref="H33">INDEX('Data Collection'!$N$2:$Q$54,MATCH(A33,'Data Collection'!$A$2:$A$54,0),MATCH(B33,'Data Collection'!$N$2:$Q$2,0))</f>
        <v>15</v>
      </c>
      <c r="I33" s="45">
        <f t="array" ref="I33">INDEX('Data Collection'!$R$2:$U$54,MATCH(A33,'Data Collection'!$A$2:$A$54,0),MATCH(B33,'Data Collection'!$R$2:$U$2,0))</f>
        <v>65</v>
      </c>
      <c r="J33" s="45">
        <f t="shared" si="3"/>
        <v>33.333333333333336</v>
      </c>
    </row>
    <row r="34" spans="1:10">
      <c r="A34" s="8">
        <f t="array" ref="A34">INDEX('Data Collection'!$A$3:$A$54, INT((ROW()-2)/4)+1)</f>
        <v>9</v>
      </c>
      <c r="B34" s="8" t="str">
        <f t="shared" si="0"/>
        <v>VS-VS</v>
      </c>
      <c r="C34" s="8" t="str">
        <f t="shared" si="1"/>
        <v>Visual</v>
      </c>
      <c r="D34" s="8" t="str">
        <f t="shared" si="2"/>
        <v>Spatial</v>
      </c>
      <c r="E34" s="8">
        <f t="array" ref="E34">INDEX('Data Collection'!$B$2:$E$54,MATCH(A34,'Data Collection'!$A$2:$A$54,0),MATCH(B34,'Data Collection'!$B$2:$E$2,0))</f>
        <v>79</v>
      </c>
      <c r="F34" s="44" t="str">
        <f t="array" aca="1" ref="F34" ca="1">IFERROR(_xludf.let(cell,INDEX('Data Collection'!$F$2:$I$54,MATCH(A34,'Data Collection'!$A$2:$A$54,0),MATCH(B34,'Data Collection'!$F$2:$I$2,0)),LEFT(cell, FIND("/", cell)-1) / MID(cell, FIND("/", cell)+1, LEN(cell))),"")</f>
        <v/>
      </c>
      <c r="G34" s="45">
        <f t="array" ref="G34">INDEX('Data Collection'!$J$2:$M$54,MATCH(A34,'Data Collection'!$A$2:$A$54,0),MATCH(B34,'Data Collection'!$J$2:$M$2,0))</f>
        <v>40</v>
      </c>
      <c r="H34" s="45">
        <f t="array" ref="H34">INDEX('Data Collection'!$N$2:$Q$54,MATCH(A34,'Data Collection'!$A$2:$A$54,0),MATCH(B34,'Data Collection'!$N$2:$Q$2,0))</f>
        <v>0</v>
      </c>
      <c r="I34" s="45">
        <f t="array" ref="I34">INDEX('Data Collection'!$R$2:$U$54,MATCH(A34,'Data Collection'!$A$2:$A$54,0),MATCH(B34,'Data Collection'!$R$2:$U$2,0))</f>
        <v>25</v>
      </c>
      <c r="J34" s="45">
        <f t="shared" si="3"/>
        <v>21.666666666666668</v>
      </c>
    </row>
    <row r="35" spans="1:10">
      <c r="A35" s="8">
        <f t="array" ref="A35">INDEX('Data Collection'!$A$3:$A$54, INT((ROW()-2)/4)+1)</f>
        <v>9</v>
      </c>
      <c r="B35" s="8" t="str">
        <f t="shared" si="0"/>
        <v>VS-VV</v>
      </c>
      <c r="C35" s="8" t="str">
        <f t="shared" si="1"/>
        <v>Visual</v>
      </c>
      <c r="D35" s="8" t="str">
        <f t="shared" si="2"/>
        <v>Verbal</v>
      </c>
      <c r="E35" s="8">
        <f t="array" ref="E35">INDEX('Data Collection'!$B$2:$E$54,MATCH(A35,'Data Collection'!$A$2:$A$54,0),MATCH(B35,'Data Collection'!$B$2:$E$2,0))</f>
        <v>71</v>
      </c>
      <c r="F35" s="44" t="str">
        <f t="array" aca="1" ref="F35" ca="1">IFERROR(_xludf.let(cell,INDEX('Data Collection'!$F$2:$I$54,MATCH(A35,'Data Collection'!$A$2:$A$54,0),MATCH(B35,'Data Collection'!$F$2:$I$2,0)),LEFT(cell, FIND("/", cell)-1) / MID(cell, FIND("/", cell)+1, LEN(cell))),"")</f>
        <v/>
      </c>
      <c r="G35" s="45">
        <f t="array" ref="G35">INDEX('Data Collection'!$J$2:$M$54,MATCH(A35,'Data Collection'!$A$2:$A$54,0),MATCH(B35,'Data Collection'!$J$2:$M$2,0))</f>
        <v>65</v>
      </c>
      <c r="H35" s="45">
        <f t="array" ref="H35">INDEX('Data Collection'!$N$2:$Q$54,MATCH(A35,'Data Collection'!$A$2:$A$54,0),MATCH(B35,'Data Collection'!$N$2:$Q$2,0))</f>
        <v>35</v>
      </c>
      <c r="I35" s="45">
        <f t="array" ref="I35">INDEX('Data Collection'!$R$2:$U$54,MATCH(A35,'Data Collection'!$A$2:$A$54,0),MATCH(B35,'Data Collection'!$R$2:$U$2,0))</f>
        <v>75</v>
      </c>
      <c r="J35" s="45">
        <f t="shared" si="3"/>
        <v>58.333333333333336</v>
      </c>
    </row>
    <row r="36" spans="1:10">
      <c r="A36" s="8">
        <f t="array" ref="A36">INDEX('Data Collection'!$A$3:$A$54, INT((ROW()-2)/4)+1)</f>
        <v>9</v>
      </c>
      <c r="B36" s="8" t="str">
        <f t="shared" si="0"/>
        <v>VS-AV</v>
      </c>
      <c r="C36" s="8" t="str">
        <f t="shared" si="1"/>
        <v>Auditory</v>
      </c>
      <c r="D36" s="8" t="str">
        <f t="shared" si="2"/>
        <v>Verbal</v>
      </c>
      <c r="E36" s="8">
        <f t="array" ref="E36">INDEX('Data Collection'!$B$2:$E$54,MATCH(A36,'Data Collection'!$A$2:$A$54,0),MATCH(B36,'Data Collection'!$B$2:$E$2,0))</f>
        <v>72</v>
      </c>
      <c r="F36" s="44" t="str">
        <f t="array" aca="1" ref="F36" ca="1">IFERROR(_xludf.let(cell,INDEX('Data Collection'!$F$2:$I$54,MATCH(A36,'Data Collection'!$A$2:$A$54,0),MATCH(B36,'Data Collection'!$F$2:$I$2,0)),LEFT(cell, FIND("/", cell)-1) / MID(cell, FIND("/", cell)+1, LEN(cell))),"")</f>
        <v/>
      </c>
      <c r="G36" s="45">
        <f t="array" ref="G36">INDEX('Data Collection'!$J$2:$M$54,MATCH(A36,'Data Collection'!$A$2:$A$54,0),MATCH(B36,'Data Collection'!$J$2:$M$2,0))</f>
        <v>25</v>
      </c>
      <c r="H36" s="45">
        <f t="array" ref="H36">INDEX('Data Collection'!$N$2:$Q$54,MATCH(A36,'Data Collection'!$A$2:$A$54,0),MATCH(B36,'Data Collection'!$N$2:$Q$2,0))</f>
        <v>20</v>
      </c>
      <c r="I36" s="45">
        <f t="array" ref="I36">INDEX('Data Collection'!$R$2:$U$54,MATCH(A36,'Data Collection'!$A$2:$A$54,0),MATCH(B36,'Data Collection'!$R$2:$U$2,0))</f>
        <v>25</v>
      </c>
      <c r="J36" s="45">
        <f t="shared" si="3"/>
        <v>23.333333333333332</v>
      </c>
    </row>
    <row r="37" spans="1:10">
      <c r="A37" s="8">
        <f t="array" ref="A37">INDEX('Data Collection'!$A$3:$A$54, INT((ROW()-2)/4)+1)</f>
        <v>9</v>
      </c>
      <c r="B37" s="8" t="str">
        <f t="shared" si="0"/>
        <v>VS-AS</v>
      </c>
      <c r="C37" s="8" t="str">
        <f t="shared" si="1"/>
        <v>Auditory</v>
      </c>
      <c r="D37" s="8" t="str">
        <f t="shared" si="2"/>
        <v>Spatial</v>
      </c>
      <c r="E37" s="8">
        <f t="array" ref="E37">INDEX('Data Collection'!$B$2:$E$54,MATCH(A37,'Data Collection'!$A$2:$A$54,0),MATCH(B37,'Data Collection'!$B$2:$E$2,0))</f>
        <v>67</v>
      </c>
      <c r="F37" s="44" t="str">
        <f t="array" aca="1" ref="F37" ca="1">IFERROR(_xludf.let(cell,INDEX('Data Collection'!$F$2:$I$54,MATCH(A37,'Data Collection'!$A$2:$A$54,0),MATCH(B37,'Data Collection'!$F$2:$I$2,0)),LEFT(cell, FIND("/", cell)-1) / MID(cell, FIND("/", cell)+1, LEN(cell))),"")</f>
        <v/>
      </c>
      <c r="G37" s="45">
        <f t="array" ref="G37">INDEX('Data Collection'!$J$2:$M$54,MATCH(A37,'Data Collection'!$A$2:$A$54,0),MATCH(B37,'Data Collection'!$J$2:$M$2,0))</f>
        <v>5</v>
      </c>
      <c r="H37" s="45">
        <f t="array" ref="H37">INDEX('Data Collection'!$N$2:$Q$54,MATCH(A37,'Data Collection'!$A$2:$A$54,0),MATCH(B37,'Data Collection'!$N$2:$Q$2,0))</f>
        <v>15</v>
      </c>
      <c r="I37" s="45">
        <f t="array" ref="I37">INDEX('Data Collection'!$R$2:$U$54,MATCH(A37,'Data Collection'!$A$2:$A$54,0),MATCH(B37,'Data Collection'!$R$2:$U$2,0))</f>
        <v>15</v>
      </c>
      <c r="J37" s="45">
        <f t="shared" si="3"/>
        <v>11.666666666666666</v>
      </c>
    </row>
    <row r="38" spans="1:10">
      <c r="A38" s="8">
        <f t="array" ref="A38">INDEX('Data Collection'!$A$3:$A$54, INT((ROW()-2)/4)+1)</f>
        <v>10</v>
      </c>
      <c r="B38" s="8" t="str">
        <f t="shared" si="0"/>
        <v>VS-VS</v>
      </c>
      <c r="C38" s="8" t="str">
        <f t="shared" si="1"/>
        <v>Visual</v>
      </c>
      <c r="D38" s="8" t="str">
        <f t="shared" si="2"/>
        <v>Spatial</v>
      </c>
      <c r="E38" s="8">
        <f t="array" ref="E38">INDEX('Data Collection'!$B$2:$E$54,MATCH(A38,'Data Collection'!$A$2:$A$54,0),MATCH(B38,'Data Collection'!$B$2:$E$2,0))</f>
        <v>110</v>
      </c>
      <c r="F38" s="44" t="str">
        <f t="array" aca="1" ref="F38" ca="1">IFERROR(_xludf.let(cell,INDEX('Data Collection'!$F$2:$I$54,MATCH(A38,'Data Collection'!$A$2:$A$54,0),MATCH(B38,'Data Collection'!$F$2:$I$2,0)),LEFT(cell, FIND("/", cell)-1) / MID(cell, FIND("/", cell)+1, LEN(cell))),"")</f>
        <v/>
      </c>
      <c r="G38" s="45">
        <f t="array" ref="G38">INDEX('Data Collection'!$J$2:$M$54,MATCH(A38,'Data Collection'!$A$2:$A$54,0),MATCH(B38,'Data Collection'!$J$2:$M$2,0))</f>
        <v>30</v>
      </c>
      <c r="H38" s="45">
        <f t="array" ref="H38">INDEX('Data Collection'!$N$2:$Q$54,MATCH(A38,'Data Collection'!$A$2:$A$54,0),MATCH(B38,'Data Collection'!$N$2:$Q$2,0))</f>
        <v>60</v>
      </c>
      <c r="I38" s="45">
        <f t="array" ref="I38">INDEX('Data Collection'!$R$2:$U$54,MATCH(A38,'Data Collection'!$A$2:$A$54,0),MATCH(B38,'Data Collection'!$R$2:$U$2,0))</f>
        <v>55</v>
      </c>
      <c r="J38" s="45">
        <f t="shared" si="3"/>
        <v>48.333333333333336</v>
      </c>
    </row>
    <row r="39" spans="1:10">
      <c r="A39" s="8">
        <f t="array" ref="A39">INDEX('Data Collection'!$A$3:$A$54, INT((ROW()-2)/4)+1)</f>
        <v>10</v>
      </c>
      <c r="B39" s="8" t="str">
        <f t="shared" si="0"/>
        <v>VS-VV</v>
      </c>
      <c r="C39" s="8" t="str">
        <f t="shared" si="1"/>
        <v>Visual</v>
      </c>
      <c r="D39" s="8" t="str">
        <f t="shared" si="2"/>
        <v>Verbal</v>
      </c>
      <c r="E39" s="8">
        <f t="array" ref="E39">INDEX('Data Collection'!$B$2:$E$54,MATCH(A39,'Data Collection'!$A$2:$A$54,0),MATCH(B39,'Data Collection'!$B$2:$E$2,0))</f>
        <v>96</v>
      </c>
      <c r="F39" s="44" t="str">
        <f t="array" aca="1" ref="F39" ca="1">IFERROR(_xludf.let(cell,INDEX('Data Collection'!$F$2:$I$54,MATCH(A39,'Data Collection'!$A$2:$A$54,0),MATCH(B39,'Data Collection'!$F$2:$I$2,0)),LEFT(cell, FIND("/", cell)-1) / MID(cell, FIND("/", cell)+1, LEN(cell))),"")</f>
        <v/>
      </c>
      <c r="G39" s="45">
        <f t="array" ref="G39">INDEX('Data Collection'!$J$2:$M$54,MATCH(A39,'Data Collection'!$A$2:$A$54,0),MATCH(B39,'Data Collection'!$J$2:$M$2,0))</f>
        <v>20</v>
      </c>
      <c r="H39" s="45">
        <f t="array" ref="H39">INDEX('Data Collection'!$N$2:$Q$54,MATCH(A39,'Data Collection'!$A$2:$A$54,0),MATCH(B39,'Data Collection'!$N$2:$Q$2,0))</f>
        <v>65</v>
      </c>
      <c r="I39" s="45">
        <f t="array" ref="I39">INDEX('Data Collection'!$R$2:$U$54,MATCH(A39,'Data Collection'!$A$2:$A$54,0),MATCH(B39,'Data Collection'!$R$2:$U$2,0))</f>
        <v>35</v>
      </c>
      <c r="J39" s="45">
        <f t="shared" si="3"/>
        <v>40</v>
      </c>
    </row>
    <row r="40" spans="1:10">
      <c r="A40" s="8">
        <f t="array" ref="A40">INDEX('Data Collection'!$A$3:$A$54, INT((ROW()-2)/4)+1)</f>
        <v>10</v>
      </c>
      <c r="B40" s="8" t="str">
        <f t="shared" si="0"/>
        <v>VS-AV</v>
      </c>
      <c r="C40" s="8" t="str">
        <f t="shared" si="1"/>
        <v>Auditory</v>
      </c>
      <c r="D40" s="8" t="str">
        <f t="shared" si="2"/>
        <v>Verbal</v>
      </c>
      <c r="E40" s="8">
        <f t="array" ref="E40">INDEX('Data Collection'!$B$2:$E$54,MATCH(A40,'Data Collection'!$A$2:$A$54,0),MATCH(B40,'Data Collection'!$B$2:$E$2,0))</f>
        <v>92</v>
      </c>
      <c r="F40" s="44" t="str">
        <f t="array" aca="1" ref="F40" ca="1">IFERROR(_xludf.let(cell,INDEX('Data Collection'!$F$2:$I$54,MATCH(A40,'Data Collection'!$A$2:$A$54,0),MATCH(B40,'Data Collection'!$F$2:$I$2,0)),LEFT(cell, FIND("/", cell)-1) / MID(cell, FIND("/", cell)+1, LEN(cell))),"")</f>
        <v/>
      </c>
      <c r="G40" s="45">
        <f t="array" ref="G40">INDEX('Data Collection'!$J$2:$M$54,MATCH(A40,'Data Collection'!$A$2:$A$54,0),MATCH(B40,'Data Collection'!$J$2:$M$2,0))</f>
        <v>15</v>
      </c>
      <c r="H40" s="45">
        <f t="array" ref="H40">INDEX('Data Collection'!$N$2:$Q$54,MATCH(A40,'Data Collection'!$A$2:$A$54,0),MATCH(B40,'Data Collection'!$N$2:$Q$2,0))</f>
        <v>70</v>
      </c>
      <c r="I40" s="45">
        <f t="array" ref="I40">INDEX('Data Collection'!$R$2:$U$54,MATCH(A40,'Data Collection'!$A$2:$A$54,0),MATCH(B40,'Data Collection'!$R$2:$U$2,0))</f>
        <v>20</v>
      </c>
      <c r="J40" s="45">
        <f t="shared" si="3"/>
        <v>35</v>
      </c>
    </row>
    <row r="41" spans="1:10">
      <c r="A41" s="8">
        <f t="array" ref="A41">INDEX('Data Collection'!$A$3:$A$54, INT((ROW()-2)/4)+1)</f>
        <v>10</v>
      </c>
      <c r="B41" s="8" t="str">
        <f t="shared" si="0"/>
        <v>VS-AS</v>
      </c>
      <c r="C41" s="8" t="str">
        <f t="shared" si="1"/>
        <v>Auditory</v>
      </c>
      <c r="D41" s="8" t="str">
        <f t="shared" si="2"/>
        <v>Spatial</v>
      </c>
      <c r="E41" s="8">
        <f t="array" ref="E41">INDEX('Data Collection'!$B$2:$E$54,MATCH(A41,'Data Collection'!$A$2:$A$54,0),MATCH(B41,'Data Collection'!$B$2:$E$2,0))</f>
        <v>127</v>
      </c>
      <c r="F41" s="44" t="str">
        <f t="array" aca="1" ref="F41" ca="1">IFERROR(_xludf.let(cell,INDEX('Data Collection'!$F$2:$I$54,MATCH(A41,'Data Collection'!$A$2:$A$54,0),MATCH(B41,'Data Collection'!$F$2:$I$2,0)),LEFT(cell, FIND("/", cell)-1) / MID(cell, FIND("/", cell)+1, LEN(cell))),"")</f>
        <v/>
      </c>
      <c r="G41" s="45">
        <f t="array" ref="G41">INDEX('Data Collection'!$J$2:$M$54,MATCH(A41,'Data Collection'!$A$2:$A$54,0),MATCH(B41,'Data Collection'!$J$2:$M$2,0))</f>
        <v>25</v>
      </c>
      <c r="H41" s="45">
        <f t="array" ref="H41">INDEX('Data Collection'!$N$2:$Q$54,MATCH(A41,'Data Collection'!$A$2:$A$54,0),MATCH(B41,'Data Collection'!$N$2:$Q$2,0))</f>
        <v>60</v>
      </c>
      <c r="I41" s="45">
        <f t="array" ref="I41">INDEX('Data Collection'!$R$2:$U$54,MATCH(A41,'Data Collection'!$A$2:$A$54,0),MATCH(B41,'Data Collection'!$R$2:$U$2,0))</f>
        <v>30</v>
      </c>
      <c r="J41" s="45">
        <f t="shared" si="3"/>
        <v>38.333333333333336</v>
      </c>
    </row>
    <row r="42" spans="1:10">
      <c r="A42" s="8">
        <f t="array" ref="A42">INDEX('Data Collection'!$A$3:$A$54, INT((ROW()-2)/4)+1)</f>
        <v>11</v>
      </c>
      <c r="B42" s="8" t="str">
        <f t="shared" si="0"/>
        <v>VS-VS</v>
      </c>
      <c r="C42" s="8" t="str">
        <f t="shared" si="1"/>
        <v>Visual</v>
      </c>
      <c r="D42" s="8" t="str">
        <f t="shared" si="2"/>
        <v>Spatial</v>
      </c>
      <c r="E42" s="8">
        <f t="array" ref="E42">INDEX('Data Collection'!$B$2:$E$54,MATCH(A42,'Data Collection'!$A$2:$A$54,0),MATCH(B42,'Data Collection'!$B$2:$E$2,0))</f>
        <v>90</v>
      </c>
      <c r="F42" s="44" t="str">
        <f t="array" aca="1" ref="F42" ca="1">IFERROR(_xludf.let(cell,INDEX('Data Collection'!$F$2:$I$54,MATCH(A42,'Data Collection'!$A$2:$A$54,0),MATCH(B42,'Data Collection'!$F$2:$I$2,0)),LEFT(cell, FIND("/", cell)-1) / MID(cell, FIND("/", cell)+1, LEN(cell))),"")</f>
        <v/>
      </c>
      <c r="G42" s="45">
        <f t="array" ref="G42">INDEX('Data Collection'!$J$2:$M$54,MATCH(A42,'Data Collection'!$A$2:$A$54,0),MATCH(B42,'Data Collection'!$J$2:$M$2,0))</f>
        <v>55</v>
      </c>
      <c r="H42" s="45">
        <f t="array" ref="H42">INDEX('Data Collection'!$N$2:$Q$54,MATCH(A42,'Data Collection'!$A$2:$A$54,0),MATCH(B42,'Data Collection'!$N$2:$Q$2,0))</f>
        <v>45</v>
      </c>
      <c r="I42" s="45">
        <f t="array" ref="I42">INDEX('Data Collection'!$R$2:$U$54,MATCH(A42,'Data Collection'!$A$2:$A$54,0),MATCH(B42,'Data Collection'!$R$2:$U$2,0))</f>
        <v>70</v>
      </c>
      <c r="J42" s="45">
        <f t="shared" si="3"/>
        <v>56.666666666666664</v>
      </c>
    </row>
    <row r="43" spans="1:10">
      <c r="A43" s="8">
        <f t="array" ref="A43">INDEX('Data Collection'!$A$3:$A$54, INT((ROW()-2)/4)+1)</f>
        <v>11</v>
      </c>
      <c r="B43" s="8" t="str">
        <f t="shared" si="0"/>
        <v>VS-VV</v>
      </c>
      <c r="C43" s="8" t="str">
        <f t="shared" si="1"/>
        <v>Visual</v>
      </c>
      <c r="D43" s="8" t="str">
        <f t="shared" si="2"/>
        <v>Verbal</v>
      </c>
      <c r="E43" s="8">
        <f t="array" ref="E43">INDEX('Data Collection'!$B$2:$E$54,MATCH(A43,'Data Collection'!$A$2:$A$54,0),MATCH(B43,'Data Collection'!$B$2:$E$2,0))</f>
        <v>106</v>
      </c>
      <c r="F43" s="44" t="str">
        <f t="array" aca="1" ref="F43" ca="1">IFERROR(_xludf.let(cell,INDEX('Data Collection'!$F$2:$I$54,MATCH(A43,'Data Collection'!$A$2:$A$54,0),MATCH(B43,'Data Collection'!$F$2:$I$2,0)),LEFT(cell, FIND("/", cell)-1) / MID(cell, FIND("/", cell)+1, LEN(cell))),"")</f>
        <v/>
      </c>
      <c r="G43" s="45">
        <f t="array" ref="G43">INDEX('Data Collection'!$J$2:$M$54,MATCH(A43,'Data Collection'!$A$2:$A$54,0),MATCH(B43,'Data Collection'!$J$2:$M$2,0))</f>
        <v>65</v>
      </c>
      <c r="H43" s="45">
        <f t="array" ref="H43">INDEX('Data Collection'!$N$2:$Q$54,MATCH(A43,'Data Collection'!$A$2:$A$54,0),MATCH(B43,'Data Collection'!$N$2:$Q$2,0))</f>
        <v>35</v>
      </c>
      <c r="I43" s="45">
        <f t="array" ref="I43">INDEX('Data Collection'!$R$2:$U$54,MATCH(A43,'Data Collection'!$A$2:$A$54,0),MATCH(B43,'Data Collection'!$R$2:$U$2,0))</f>
        <v>80</v>
      </c>
      <c r="J43" s="45">
        <f t="shared" si="3"/>
        <v>60</v>
      </c>
    </row>
    <row r="44" spans="1:10">
      <c r="A44" s="8">
        <f t="array" ref="A44">INDEX('Data Collection'!$A$3:$A$54, INT((ROW()-2)/4)+1)</f>
        <v>11</v>
      </c>
      <c r="B44" s="8" t="str">
        <f t="shared" si="0"/>
        <v>VS-AV</v>
      </c>
      <c r="C44" s="8" t="str">
        <f t="shared" si="1"/>
        <v>Auditory</v>
      </c>
      <c r="D44" s="8" t="str">
        <f t="shared" si="2"/>
        <v>Verbal</v>
      </c>
      <c r="E44" s="8">
        <f t="array" ref="E44">INDEX('Data Collection'!$B$2:$E$54,MATCH(A44,'Data Collection'!$A$2:$A$54,0),MATCH(B44,'Data Collection'!$B$2:$E$2,0))</f>
        <v>90</v>
      </c>
      <c r="F44" s="44" t="str">
        <f t="array" aca="1" ref="F44" ca="1">IFERROR(_xludf.let(cell,INDEX('Data Collection'!$F$2:$I$54,MATCH(A44,'Data Collection'!$A$2:$A$54,0),MATCH(B44,'Data Collection'!$F$2:$I$2,0)),LEFT(cell, FIND("/", cell)-1) / MID(cell, FIND("/", cell)+1, LEN(cell))),"")</f>
        <v/>
      </c>
      <c r="G44" s="45">
        <f t="array" ref="G44">INDEX('Data Collection'!$J$2:$M$54,MATCH(A44,'Data Collection'!$A$2:$A$54,0),MATCH(B44,'Data Collection'!$J$2:$M$2,0))</f>
        <v>80</v>
      </c>
      <c r="H44" s="45">
        <f t="array" ref="H44">INDEX('Data Collection'!$N$2:$Q$54,MATCH(A44,'Data Collection'!$A$2:$A$54,0),MATCH(B44,'Data Collection'!$N$2:$Q$2,0))</f>
        <v>70</v>
      </c>
      <c r="I44" s="45">
        <f t="array" ref="I44">INDEX('Data Collection'!$R$2:$U$54,MATCH(A44,'Data Collection'!$A$2:$A$54,0),MATCH(B44,'Data Collection'!$R$2:$U$2,0))</f>
        <v>85</v>
      </c>
      <c r="J44" s="45">
        <f t="shared" si="3"/>
        <v>78.333333333333329</v>
      </c>
    </row>
    <row r="45" spans="1:10">
      <c r="A45" s="8">
        <f t="array" ref="A45">INDEX('Data Collection'!$A$3:$A$54, INT((ROW()-2)/4)+1)</f>
        <v>11</v>
      </c>
      <c r="B45" s="8" t="str">
        <f t="shared" si="0"/>
        <v>VS-AS</v>
      </c>
      <c r="C45" s="8" t="str">
        <f t="shared" si="1"/>
        <v>Auditory</v>
      </c>
      <c r="D45" s="8" t="str">
        <f t="shared" si="2"/>
        <v>Spatial</v>
      </c>
      <c r="E45" s="8">
        <f t="array" ref="E45">INDEX('Data Collection'!$B$2:$E$54,MATCH(A45,'Data Collection'!$A$2:$A$54,0),MATCH(B45,'Data Collection'!$B$2:$E$2,0))</f>
        <v>80</v>
      </c>
      <c r="F45" s="44" t="str">
        <f t="array" aca="1" ref="F45" ca="1">IFERROR(_xludf.let(cell,INDEX('Data Collection'!$F$2:$I$54,MATCH(A45,'Data Collection'!$A$2:$A$54,0),MATCH(B45,'Data Collection'!$F$2:$I$2,0)),LEFT(cell, FIND("/", cell)-1) / MID(cell, FIND("/", cell)+1, LEN(cell))),"")</f>
        <v/>
      </c>
      <c r="G45" s="45">
        <f t="array" ref="G45">INDEX('Data Collection'!$J$2:$M$54,MATCH(A45,'Data Collection'!$A$2:$A$54,0),MATCH(B45,'Data Collection'!$J$2:$M$2,0))</f>
        <v>70</v>
      </c>
      <c r="H45" s="45">
        <f t="array" ref="H45">INDEX('Data Collection'!$N$2:$Q$54,MATCH(A45,'Data Collection'!$A$2:$A$54,0),MATCH(B45,'Data Collection'!$N$2:$Q$2,0))</f>
        <v>65</v>
      </c>
      <c r="I45" s="45">
        <f t="array" ref="I45">INDEX('Data Collection'!$R$2:$U$54,MATCH(A45,'Data Collection'!$A$2:$A$54,0),MATCH(B45,'Data Collection'!$R$2:$U$2,0))</f>
        <v>60</v>
      </c>
      <c r="J45" s="45">
        <f t="shared" si="3"/>
        <v>65</v>
      </c>
    </row>
    <row r="46" spans="1:10">
      <c r="A46" s="8">
        <f t="array" ref="A46">INDEX('Data Collection'!$A$3:$A$54, INT((ROW()-2)/4)+1)</f>
        <v>12</v>
      </c>
      <c r="B46" s="8" t="str">
        <f t="shared" si="0"/>
        <v>VS-VS</v>
      </c>
      <c r="C46" s="8" t="str">
        <f t="shared" si="1"/>
        <v>Visual</v>
      </c>
      <c r="D46" s="8" t="str">
        <f t="shared" si="2"/>
        <v>Spatial</v>
      </c>
      <c r="E46" s="8">
        <f t="array" ref="E46">INDEX('Data Collection'!$B$2:$E$54,MATCH(A46,'Data Collection'!$A$2:$A$54,0),MATCH(B46,'Data Collection'!$B$2:$E$2,0))</f>
        <v>62</v>
      </c>
      <c r="F46" s="44" t="str">
        <f t="array" aca="1" ref="F46" ca="1">IFERROR(_xludf.let(cell,INDEX('Data Collection'!$F$2:$I$54,MATCH(A46,'Data Collection'!$A$2:$A$54,0),MATCH(B46,'Data Collection'!$F$2:$I$2,0)),LEFT(cell, FIND("/", cell)-1) / MID(cell, FIND("/", cell)+1, LEN(cell))),"")</f>
        <v/>
      </c>
      <c r="G46" s="45">
        <f t="array" ref="G46">INDEX('Data Collection'!$J$2:$M$54,MATCH(A46,'Data Collection'!$A$2:$A$54,0),MATCH(B46,'Data Collection'!$J$2:$M$2,0))</f>
        <v>45</v>
      </c>
      <c r="H46" s="45">
        <f t="array" ref="H46">INDEX('Data Collection'!$N$2:$Q$54,MATCH(A46,'Data Collection'!$A$2:$A$54,0),MATCH(B46,'Data Collection'!$N$2:$Q$2,0))</f>
        <v>25</v>
      </c>
      <c r="I46" s="45">
        <f t="array" ref="I46">INDEX('Data Collection'!$R$2:$U$54,MATCH(A46,'Data Collection'!$A$2:$A$54,0),MATCH(B46,'Data Collection'!$R$2:$U$2,0))</f>
        <v>85</v>
      </c>
      <c r="J46" s="45">
        <f t="shared" si="3"/>
        <v>51.666666666666664</v>
      </c>
    </row>
    <row r="47" spans="1:10">
      <c r="A47" s="8">
        <f t="array" ref="A47">INDEX('Data Collection'!$A$3:$A$54, INT((ROW()-2)/4)+1)</f>
        <v>12</v>
      </c>
      <c r="B47" s="8" t="str">
        <f t="shared" si="0"/>
        <v>VS-VV</v>
      </c>
      <c r="C47" s="8" t="str">
        <f t="shared" si="1"/>
        <v>Visual</v>
      </c>
      <c r="D47" s="8" t="str">
        <f t="shared" si="2"/>
        <v>Verbal</v>
      </c>
      <c r="E47" s="8">
        <f t="array" ref="E47">INDEX('Data Collection'!$B$2:$E$54,MATCH(A47,'Data Collection'!$A$2:$A$54,0),MATCH(B47,'Data Collection'!$B$2:$E$2,0))</f>
        <v>63</v>
      </c>
      <c r="F47" s="44" t="str">
        <f t="array" aca="1" ref="F47" ca="1">IFERROR(_xludf.let(cell,INDEX('Data Collection'!$F$2:$I$54,MATCH(A47,'Data Collection'!$A$2:$A$54,0),MATCH(B47,'Data Collection'!$F$2:$I$2,0)),LEFT(cell, FIND("/", cell)-1) / MID(cell, FIND("/", cell)+1, LEN(cell))),"")</f>
        <v/>
      </c>
      <c r="G47" s="45">
        <f t="array" ref="G47">INDEX('Data Collection'!$J$2:$M$54,MATCH(A47,'Data Collection'!$A$2:$A$54,0),MATCH(B47,'Data Collection'!$J$2:$M$2,0))</f>
        <v>50</v>
      </c>
      <c r="H47" s="45">
        <f t="array" ref="H47">INDEX('Data Collection'!$N$2:$Q$54,MATCH(A47,'Data Collection'!$A$2:$A$54,0),MATCH(B47,'Data Collection'!$N$2:$Q$2,0))</f>
        <v>60</v>
      </c>
      <c r="I47" s="45">
        <f t="array" ref="I47">INDEX('Data Collection'!$R$2:$U$54,MATCH(A47,'Data Collection'!$A$2:$A$54,0),MATCH(B47,'Data Collection'!$R$2:$U$2,0))</f>
        <v>90</v>
      </c>
      <c r="J47" s="45">
        <f t="shared" si="3"/>
        <v>66.666666666666671</v>
      </c>
    </row>
    <row r="48" spans="1:10">
      <c r="A48" s="8">
        <f t="array" ref="A48">INDEX('Data Collection'!$A$3:$A$54, INT((ROW()-2)/4)+1)</f>
        <v>12</v>
      </c>
      <c r="B48" s="8" t="str">
        <f t="shared" si="0"/>
        <v>VS-AV</v>
      </c>
      <c r="C48" s="8" t="str">
        <f t="shared" si="1"/>
        <v>Auditory</v>
      </c>
      <c r="D48" s="8" t="str">
        <f t="shared" si="2"/>
        <v>Verbal</v>
      </c>
      <c r="E48" s="8">
        <f t="array" ref="E48">INDEX('Data Collection'!$B$2:$E$54,MATCH(A48,'Data Collection'!$A$2:$A$54,0),MATCH(B48,'Data Collection'!$B$2:$E$2,0))</f>
        <v>92</v>
      </c>
      <c r="F48" s="44" t="str">
        <f t="array" aca="1" ref="F48" ca="1">IFERROR(_xludf.let(cell,INDEX('Data Collection'!$F$2:$I$54,MATCH(A48,'Data Collection'!$A$2:$A$54,0),MATCH(B48,'Data Collection'!$F$2:$I$2,0)),LEFT(cell, FIND("/", cell)-1) / MID(cell, FIND("/", cell)+1, LEN(cell))),"")</f>
        <v/>
      </c>
      <c r="G48" s="45">
        <f t="array" ref="G48">INDEX('Data Collection'!$J$2:$M$54,MATCH(A48,'Data Collection'!$A$2:$A$54,0),MATCH(B48,'Data Collection'!$J$2:$M$2,0))</f>
        <v>40</v>
      </c>
      <c r="H48" s="45">
        <f t="array" ref="H48">INDEX('Data Collection'!$N$2:$Q$54,MATCH(A48,'Data Collection'!$A$2:$A$54,0),MATCH(B48,'Data Collection'!$N$2:$Q$2,0))</f>
        <v>40</v>
      </c>
      <c r="I48" s="45">
        <f t="array" ref="I48">INDEX('Data Collection'!$R$2:$U$54,MATCH(A48,'Data Collection'!$A$2:$A$54,0),MATCH(B48,'Data Collection'!$R$2:$U$2,0))</f>
        <v>35</v>
      </c>
      <c r="J48" s="45">
        <f t="shared" si="3"/>
        <v>38.333333333333336</v>
      </c>
    </row>
    <row r="49" spans="1:10">
      <c r="A49" s="8">
        <f t="array" ref="A49">INDEX('Data Collection'!$A$3:$A$54, INT((ROW()-2)/4)+1)</f>
        <v>12</v>
      </c>
      <c r="B49" s="8" t="str">
        <f t="shared" si="0"/>
        <v>VS-AS</v>
      </c>
      <c r="C49" s="8" t="str">
        <f t="shared" si="1"/>
        <v>Auditory</v>
      </c>
      <c r="D49" s="8" t="str">
        <f t="shared" si="2"/>
        <v>Spatial</v>
      </c>
      <c r="E49" s="8">
        <f t="array" ref="E49">INDEX('Data Collection'!$B$2:$E$54,MATCH(A49,'Data Collection'!$A$2:$A$54,0),MATCH(B49,'Data Collection'!$B$2:$E$2,0))</f>
        <v>60</v>
      </c>
      <c r="F49" s="44" t="str">
        <f t="array" aca="1" ref="F49" ca="1">IFERROR(_xludf.let(cell,INDEX('Data Collection'!$F$2:$I$54,MATCH(A49,'Data Collection'!$A$2:$A$54,0),MATCH(B49,'Data Collection'!$F$2:$I$2,0)),LEFT(cell, FIND("/", cell)-1) / MID(cell, FIND("/", cell)+1, LEN(cell))),"")</f>
        <v/>
      </c>
      <c r="G49" s="45">
        <f t="array" ref="G49">INDEX('Data Collection'!$J$2:$M$54,MATCH(A49,'Data Collection'!$A$2:$A$54,0),MATCH(B49,'Data Collection'!$J$2:$M$2,0))</f>
        <v>45</v>
      </c>
      <c r="H49" s="45">
        <f t="array" ref="H49">INDEX('Data Collection'!$N$2:$Q$54,MATCH(A49,'Data Collection'!$A$2:$A$54,0),MATCH(B49,'Data Collection'!$N$2:$Q$2,0))</f>
        <v>30</v>
      </c>
      <c r="I49" s="45">
        <f t="array" ref="I49">INDEX('Data Collection'!$R$2:$U$54,MATCH(A49,'Data Collection'!$A$2:$A$54,0),MATCH(B49,'Data Collection'!$R$2:$U$2,0))</f>
        <v>30</v>
      </c>
      <c r="J49" s="45">
        <f t="shared" si="3"/>
        <v>35</v>
      </c>
    </row>
    <row r="50" spans="1:10">
      <c r="A50" s="8">
        <f t="array" ref="A50">INDEX('Data Collection'!$A$3:$A$54, INT((ROW()-2)/4)+1)</f>
        <v>13</v>
      </c>
      <c r="B50" s="8" t="str">
        <f t="shared" si="0"/>
        <v>VS-VS</v>
      </c>
      <c r="C50" s="8" t="str">
        <f t="shared" si="1"/>
        <v>Visual</v>
      </c>
      <c r="D50" s="8" t="str">
        <f t="shared" si="2"/>
        <v>Spatial</v>
      </c>
      <c r="E50" s="8">
        <f t="array" ref="E50">INDEX('Data Collection'!$B$2:$E$54,MATCH(A50,'Data Collection'!$A$2:$A$54,0),MATCH(B50,'Data Collection'!$B$2:$E$2,0))</f>
        <v>94</v>
      </c>
      <c r="F50" s="44" t="str">
        <f t="array" aca="1" ref="F50" ca="1">IFERROR(_xludf.let(cell,INDEX('Data Collection'!$F$2:$I$54,MATCH(A50,'Data Collection'!$A$2:$A$54,0),MATCH(B50,'Data Collection'!$F$2:$I$2,0)),LEFT(cell, FIND("/", cell)-1) / MID(cell, FIND("/", cell)+1, LEN(cell))),"")</f>
        <v/>
      </c>
      <c r="G50" s="45">
        <f t="array" ref="G50">INDEX('Data Collection'!$J$2:$M$54,MATCH(A50,'Data Collection'!$A$2:$A$54,0),MATCH(B50,'Data Collection'!$J$2:$M$2,0))</f>
        <v>25</v>
      </c>
      <c r="H50" s="45">
        <f t="array" ref="H50">INDEX('Data Collection'!$N$2:$Q$54,MATCH(A50,'Data Collection'!$A$2:$A$54,0),MATCH(B50,'Data Collection'!$N$2:$Q$2,0))</f>
        <v>45</v>
      </c>
      <c r="I50" s="45">
        <f t="array" ref="I50">INDEX('Data Collection'!$R$2:$U$54,MATCH(A50,'Data Collection'!$A$2:$A$54,0),MATCH(B50,'Data Collection'!$R$2:$U$2,0))</f>
        <v>50</v>
      </c>
      <c r="J50" s="45">
        <f t="shared" si="3"/>
        <v>40</v>
      </c>
    </row>
    <row r="51" spans="1:10">
      <c r="A51" s="8">
        <f t="array" ref="A51">INDEX('Data Collection'!$A$3:$A$54, INT((ROW()-2)/4)+1)</f>
        <v>13</v>
      </c>
      <c r="B51" s="8" t="str">
        <f t="shared" si="0"/>
        <v>VS-VV</v>
      </c>
      <c r="C51" s="8" t="str">
        <f t="shared" si="1"/>
        <v>Visual</v>
      </c>
      <c r="D51" s="8" t="str">
        <f t="shared" si="2"/>
        <v>Verbal</v>
      </c>
      <c r="E51" s="8">
        <f t="array" ref="E51">INDEX('Data Collection'!$B$2:$E$54,MATCH(A51,'Data Collection'!$A$2:$A$54,0),MATCH(B51,'Data Collection'!$B$2:$E$2,0))</f>
        <v>84</v>
      </c>
      <c r="F51" s="44" t="str">
        <f t="array" aca="1" ref="F51" ca="1">IFERROR(_xludf.let(cell,INDEX('Data Collection'!$F$2:$I$54,MATCH(A51,'Data Collection'!$A$2:$A$54,0),MATCH(B51,'Data Collection'!$F$2:$I$2,0)),LEFT(cell, FIND("/", cell)-1) / MID(cell, FIND("/", cell)+1, LEN(cell))),"")</f>
        <v/>
      </c>
      <c r="G51" s="45">
        <f t="array" ref="G51">INDEX('Data Collection'!$J$2:$M$54,MATCH(A51,'Data Collection'!$A$2:$A$54,0),MATCH(B51,'Data Collection'!$J$2:$M$2,0))</f>
        <v>35</v>
      </c>
      <c r="H51" s="45">
        <f t="array" ref="H51">INDEX('Data Collection'!$N$2:$Q$54,MATCH(A51,'Data Collection'!$A$2:$A$54,0),MATCH(B51,'Data Collection'!$N$2:$Q$2,0))</f>
        <v>40</v>
      </c>
      <c r="I51" s="45">
        <f t="array" ref="I51">INDEX('Data Collection'!$R$2:$U$54,MATCH(A51,'Data Collection'!$A$2:$A$54,0),MATCH(B51,'Data Collection'!$R$2:$U$2,0))</f>
        <v>50</v>
      </c>
      <c r="J51" s="45">
        <f t="shared" si="3"/>
        <v>41.666666666666664</v>
      </c>
    </row>
    <row r="52" spans="1:10">
      <c r="A52" s="8">
        <f t="array" ref="A52">INDEX('Data Collection'!$A$3:$A$54, INT((ROW()-2)/4)+1)</f>
        <v>13</v>
      </c>
      <c r="B52" s="8" t="str">
        <f t="shared" si="0"/>
        <v>VS-AV</v>
      </c>
      <c r="C52" s="8" t="str">
        <f t="shared" si="1"/>
        <v>Auditory</v>
      </c>
      <c r="D52" s="8" t="str">
        <f t="shared" si="2"/>
        <v>Verbal</v>
      </c>
      <c r="E52" s="8">
        <f t="array" ref="E52">INDEX('Data Collection'!$B$2:$E$54,MATCH(A52,'Data Collection'!$A$2:$A$54,0),MATCH(B52,'Data Collection'!$B$2:$E$2,0))</f>
        <v>82</v>
      </c>
      <c r="F52" s="44" t="str">
        <f t="array" aca="1" ref="F52" ca="1">IFERROR(_xludf.let(cell,INDEX('Data Collection'!$F$2:$I$54,MATCH(A52,'Data Collection'!$A$2:$A$54,0),MATCH(B52,'Data Collection'!$F$2:$I$2,0)),LEFT(cell, FIND("/", cell)-1) / MID(cell, FIND("/", cell)+1, LEN(cell))),"")</f>
        <v/>
      </c>
      <c r="G52" s="45">
        <f t="array" ref="G52">INDEX('Data Collection'!$J$2:$M$54,MATCH(A52,'Data Collection'!$A$2:$A$54,0),MATCH(B52,'Data Collection'!$J$2:$M$2,0))</f>
        <v>50</v>
      </c>
      <c r="H52" s="45">
        <f t="array" ref="H52">INDEX('Data Collection'!$N$2:$Q$54,MATCH(A52,'Data Collection'!$A$2:$A$54,0),MATCH(B52,'Data Collection'!$N$2:$Q$2,0))</f>
        <v>40</v>
      </c>
      <c r="I52" s="45">
        <f t="array" ref="I52">INDEX('Data Collection'!$R$2:$U$54,MATCH(A52,'Data Collection'!$A$2:$A$54,0),MATCH(B52,'Data Collection'!$R$2:$U$2,0))</f>
        <v>35</v>
      </c>
      <c r="J52" s="45">
        <f t="shared" si="3"/>
        <v>41.666666666666664</v>
      </c>
    </row>
    <row r="53" spans="1:10">
      <c r="A53" s="8">
        <f t="array" ref="A53">INDEX('Data Collection'!$A$3:$A$54, INT((ROW()-2)/4)+1)</f>
        <v>13</v>
      </c>
      <c r="B53" s="8" t="str">
        <f t="shared" si="0"/>
        <v>VS-AS</v>
      </c>
      <c r="C53" s="8" t="str">
        <f t="shared" si="1"/>
        <v>Auditory</v>
      </c>
      <c r="D53" s="8" t="str">
        <f t="shared" si="2"/>
        <v>Spatial</v>
      </c>
      <c r="E53" s="8">
        <f t="array" ref="E53">INDEX('Data Collection'!$B$2:$E$54,MATCH(A53,'Data Collection'!$A$2:$A$54,0),MATCH(B53,'Data Collection'!$B$2:$E$2,0))</f>
        <v>78</v>
      </c>
      <c r="F53" s="44" t="str">
        <f t="array" aca="1" ref="F53" ca="1">IFERROR(_xludf.let(cell,INDEX('Data Collection'!$F$2:$I$54,MATCH(A53,'Data Collection'!$A$2:$A$54,0),MATCH(B53,'Data Collection'!$F$2:$I$2,0)),LEFT(cell, FIND("/", cell)-1) / MID(cell, FIND("/", cell)+1, LEN(cell))),"")</f>
        <v/>
      </c>
      <c r="G53" s="45">
        <f t="array" ref="G53">INDEX('Data Collection'!$J$2:$M$54,MATCH(A53,'Data Collection'!$A$2:$A$54,0),MATCH(B53,'Data Collection'!$J$2:$M$2,0))</f>
        <v>45</v>
      </c>
      <c r="H53" s="45">
        <f t="array" ref="H53">INDEX('Data Collection'!$N$2:$Q$54,MATCH(A53,'Data Collection'!$A$2:$A$54,0),MATCH(B53,'Data Collection'!$N$2:$Q$2,0))</f>
        <v>45</v>
      </c>
      <c r="I53" s="45">
        <f t="array" ref="I53">INDEX('Data Collection'!$R$2:$U$54,MATCH(A53,'Data Collection'!$A$2:$A$54,0),MATCH(B53,'Data Collection'!$R$2:$U$2,0))</f>
        <v>45</v>
      </c>
      <c r="J53" s="45">
        <f t="shared" si="3"/>
        <v>45</v>
      </c>
    </row>
    <row r="54" spans="1:10">
      <c r="A54" s="8">
        <f t="array" ref="A54">INDEX('Data Collection'!$A$3:$A$54, INT((ROW()-2)/4)+1)</f>
        <v>14</v>
      </c>
      <c r="B54" s="8" t="str">
        <f t="shared" si="0"/>
        <v>VS-VS</v>
      </c>
      <c r="C54" s="8" t="str">
        <f t="shared" si="1"/>
        <v>Visual</v>
      </c>
      <c r="D54" s="8" t="str">
        <f t="shared" si="2"/>
        <v>Spatial</v>
      </c>
      <c r="E54" s="8">
        <f t="array" ref="E54">INDEX('Data Collection'!$B$2:$E$54,MATCH(A54,'Data Collection'!$A$2:$A$54,0),MATCH(B54,'Data Collection'!$B$2:$E$2,0))</f>
        <v>48</v>
      </c>
      <c r="F54" s="44" t="str">
        <f t="array" aca="1" ref="F54" ca="1">IFERROR(_xludf.let(cell,INDEX('Data Collection'!$F$2:$I$54,MATCH(A54,'Data Collection'!$A$2:$A$54,0),MATCH(B54,'Data Collection'!$F$2:$I$2,0)),LEFT(cell, FIND("/", cell)-1) / MID(cell, FIND("/", cell)+1, LEN(cell))),"")</f>
        <v/>
      </c>
      <c r="G54" s="45">
        <f t="array" ref="G54">INDEX('Data Collection'!$J$2:$M$54,MATCH(A54,'Data Collection'!$A$2:$A$54,0),MATCH(B54,'Data Collection'!$J$2:$M$2,0))</f>
        <v>90</v>
      </c>
      <c r="H54" s="45">
        <f t="array" ref="H54">INDEX('Data Collection'!$N$2:$Q$54,MATCH(A54,'Data Collection'!$A$2:$A$54,0),MATCH(B54,'Data Collection'!$N$2:$Q$2,0))</f>
        <v>10</v>
      </c>
      <c r="I54" s="45">
        <f t="array" ref="I54">INDEX('Data Collection'!$R$2:$U$54,MATCH(A54,'Data Collection'!$A$2:$A$54,0),MATCH(B54,'Data Collection'!$R$2:$U$2,0))</f>
        <v>85</v>
      </c>
      <c r="J54" s="45">
        <f t="shared" si="3"/>
        <v>61.666666666666664</v>
      </c>
    </row>
    <row r="55" spans="1:10">
      <c r="A55" s="8">
        <f t="array" ref="A55">INDEX('Data Collection'!$A$3:$A$54, INT((ROW()-2)/4)+1)</f>
        <v>14</v>
      </c>
      <c r="B55" s="8" t="str">
        <f t="shared" si="0"/>
        <v>VS-VV</v>
      </c>
      <c r="C55" s="8" t="str">
        <f t="shared" si="1"/>
        <v>Visual</v>
      </c>
      <c r="D55" s="8" t="str">
        <f t="shared" si="2"/>
        <v>Verbal</v>
      </c>
      <c r="E55" s="8">
        <f t="array" ref="E55">INDEX('Data Collection'!$B$2:$E$54,MATCH(A55,'Data Collection'!$A$2:$A$54,0),MATCH(B55,'Data Collection'!$B$2:$E$2,0))</f>
        <v>50</v>
      </c>
      <c r="F55" s="44" t="str">
        <f t="array" aca="1" ref="F55" ca="1">IFERROR(_xludf.let(cell,INDEX('Data Collection'!$F$2:$I$54,MATCH(A55,'Data Collection'!$A$2:$A$54,0),MATCH(B55,'Data Collection'!$F$2:$I$2,0)),LEFT(cell, FIND("/", cell)-1) / MID(cell, FIND("/", cell)+1, LEN(cell))),"")</f>
        <v/>
      </c>
      <c r="G55" s="45">
        <f t="array" ref="G55">INDEX('Data Collection'!$J$2:$M$54,MATCH(A55,'Data Collection'!$A$2:$A$54,0),MATCH(B55,'Data Collection'!$J$2:$M$2,0))</f>
        <v>5</v>
      </c>
      <c r="H55" s="45">
        <f t="array" ref="H55">INDEX('Data Collection'!$N$2:$Q$54,MATCH(A55,'Data Collection'!$A$2:$A$54,0),MATCH(B55,'Data Collection'!$N$2:$Q$2,0))</f>
        <v>90</v>
      </c>
      <c r="I55" s="45">
        <f t="array" ref="I55">INDEX('Data Collection'!$R$2:$U$54,MATCH(A55,'Data Collection'!$A$2:$A$54,0),MATCH(B55,'Data Collection'!$R$2:$U$2,0))</f>
        <v>10</v>
      </c>
      <c r="J55" s="45">
        <f t="shared" si="3"/>
        <v>35</v>
      </c>
    </row>
    <row r="56" spans="1:10">
      <c r="A56" s="8">
        <f t="array" ref="A56">INDEX('Data Collection'!$A$3:$A$54, INT((ROW()-2)/4)+1)</f>
        <v>14</v>
      </c>
      <c r="B56" s="8" t="str">
        <f t="shared" si="0"/>
        <v>VS-AV</v>
      </c>
      <c r="C56" s="8" t="str">
        <f t="shared" si="1"/>
        <v>Auditory</v>
      </c>
      <c r="D56" s="8" t="str">
        <f t="shared" si="2"/>
        <v>Verbal</v>
      </c>
      <c r="E56" s="8">
        <f t="array" ref="E56">INDEX('Data Collection'!$B$2:$E$54,MATCH(A56,'Data Collection'!$A$2:$A$54,0),MATCH(B56,'Data Collection'!$B$2:$E$2,0))</f>
        <v>47</v>
      </c>
      <c r="F56" s="44" t="str">
        <f t="array" aca="1" ref="F56" ca="1">IFERROR(_xludf.let(cell,INDEX('Data Collection'!$F$2:$I$54,MATCH(A56,'Data Collection'!$A$2:$A$54,0),MATCH(B56,'Data Collection'!$F$2:$I$2,0)),LEFT(cell, FIND("/", cell)-1) / MID(cell, FIND("/", cell)+1, LEN(cell))),"")</f>
        <v/>
      </c>
      <c r="G56" s="45">
        <f t="array" ref="G56">INDEX('Data Collection'!$J$2:$M$54,MATCH(A56,'Data Collection'!$A$2:$A$54,0),MATCH(B56,'Data Collection'!$J$2:$M$2,0))</f>
        <v>5</v>
      </c>
      <c r="H56" s="45">
        <f t="array" ref="H56">INDEX('Data Collection'!$N$2:$Q$54,MATCH(A56,'Data Collection'!$A$2:$A$54,0),MATCH(B56,'Data Collection'!$N$2:$Q$2,0))</f>
        <v>70</v>
      </c>
      <c r="I56" s="45">
        <f t="array" ref="I56">INDEX('Data Collection'!$R$2:$U$54,MATCH(A56,'Data Collection'!$A$2:$A$54,0),MATCH(B56,'Data Collection'!$R$2:$U$2,0))</f>
        <v>15</v>
      </c>
      <c r="J56" s="45">
        <f t="shared" si="3"/>
        <v>30</v>
      </c>
    </row>
    <row r="57" spans="1:10">
      <c r="A57" s="8">
        <f t="array" ref="A57">INDEX('Data Collection'!$A$3:$A$54, INT((ROW()-2)/4)+1)</f>
        <v>14</v>
      </c>
      <c r="B57" s="8" t="str">
        <f t="shared" si="0"/>
        <v>VS-AS</v>
      </c>
      <c r="C57" s="8" t="str">
        <f t="shared" si="1"/>
        <v>Auditory</v>
      </c>
      <c r="D57" s="8" t="str">
        <f t="shared" si="2"/>
        <v>Spatial</v>
      </c>
      <c r="E57" s="8">
        <f t="array" ref="E57">INDEX('Data Collection'!$B$2:$E$54,MATCH(A57,'Data Collection'!$A$2:$A$54,0),MATCH(B57,'Data Collection'!$B$2:$E$2,0))</f>
        <v>53</v>
      </c>
      <c r="F57" s="44" t="str">
        <f t="array" aca="1" ref="F57" ca="1">IFERROR(_xludf.let(cell,INDEX('Data Collection'!$F$2:$I$54,MATCH(A57,'Data Collection'!$A$2:$A$54,0),MATCH(B57,'Data Collection'!$F$2:$I$2,0)),LEFT(cell, FIND("/", cell)-1) / MID(cell, FIND("/", cell)+1, LEN(cell))),"")</f>
        <v/>
      </c>
      <c r="G57" s="45">
        <f t="array" ref="G57">INDEX('Data Collection'!$J$2:$M$54,MATCH(A57,'Data Collection'!$A$2:$A$54,0),MATCH(B57,'Data Collection'!$J$2:$M$2,0))</f>
        <v>75</v>
      </c>
      <c r="H57" s="45">
        <f t="array" ref="H57">INDEX('Data Collection'!$N$2:$Q$54,MATCH(A57,'Data Collection'!$A$2:$A$54,0),MATCH(B57,'Data Collection'!$N$2:$Q$2,0))</f>
        <v>65</v>
      </c>
      <c r="I57" s="45">
        <f t="array" ref="I57">INDEX('Data Collection'!$R$2:$U$54,MATCH(A57,'Data Collection'!$A$2:$A$54,0),MATCH(B57,'Data Collection'!$R$2:$U$2,0))</f>
        <v>20</v>
      </c>
      <c r="J57" s="45">
        <f t="shared" si="3"/>
        <v>53.333333333333336</v>
      </c>
    </row>
    <row r="58" spans="1:10">
      <c r="A58" s="8">
        <f t="array" ref="A58">INDEX('Data Collection'!$A$3:$A$54, INT((ROW()-2)/4)+1)</f>
        <v>15</v>
      </c>
      <c r="B58" s="8" t="str">
        <f t="shared" si="0"/>
        <v>VS-VS</v>
      </c>
      <c r="C58" s="8" t="str">
        <f t="shared" si="1"/>
        <v>Visual</v>
      </c>
      <c r="D58" s="8" t="str">
        <f t="shared" si="2"/>
        <v>Spatial</v>
      </c>
      <c r="E58" s="8">
        <f t="array" ref="E58">INDEX('Data Collection'!$B$2:$E$54,MATCH(A58,'Data Collection'!$A$2:$A$54,0),MATCH(B58,'Data Collection'!$B$2:$E$2,0))</f>
        <v>67</v>
      </c>
      <c r="F58" s="44" t="str">
        <f t="array" aca="1" ref="F58" ca="1">IFERROR(_xludf.let(cell,INDEX('Data Collection'!$F$2:$I$54,MATCH(A58,'Data Collection'!$A$2:$A$54,0),MATCH(B58,'Data Collection'!$F$2:$I$2,0)),LEFT(cell, FIND("/", cell)-1) / MID(cell, FIND("/", cell)+1, LEN(cell))),"")</f>
        <v/>
      </c>
      <c r="G58" s="45">
        <f t="array" ref="G58">INDEX('Data Collection'!$J$2:$M$54,MATCH(A58,'Data Collection'!$A$2:$A$54,0),MATCH(B58,'Data Collection'!$J$2:$M$2,0))</f>
        <v>65</v>
      </c>
      <c r="H58" s="45">
        <f t="array" ref="H58">INDEX('Data Collection'!$N$2:$Q$54,MATCH(A58,'Data Collection'!$A$2:$A$54,0),MATCH(B58,'Data Collection'!$N$2:$Q$2,0))</f>
        <v>60</v>
      </c>
      <c r="I58" s="45">
        <f t="array" ref="I58">INDEX('Data Collection'!$R$2:$U$54,MATCH(A58,'Data Collection'!$A$2:$A$54,0),MATCH(B58,'Data Collection'!$R$2:$U$2,0))</f>
        <v>40</v>
      </c>
      <c r="J58" s="45">
        <f t="shared" si="3"/>
        <v>55</v>
      </c>
    </row>
    <row r="59" spans="1:10">
      <c r="A59" s="8">
        <f t="array" ref="A59">INDEX('Data Collection'!$A$3:$A$54, INT((ROW()-2)/4)+1)</f>
        <v>15</v>
      </c>
      <c r="B59" s="8" t="str">
        <f t="shared" si="0"/>
        <v>VS-VV</v>
      </c>
      <c r="C59" s="8" t="str">
        <f t="shared" si="1"/>
        <v>Visual</v>
      </c>
      <c r="D59" s="8" t="str">
        <f t="shared" si="2"/>
        <v>Verbal</v>
      </c>
      <c r="E59" s="8">
        <f t="array" ref="E59">INDEX('Data Collection'!$B$2:$E$54,MATCH(A59,'Data Collection'!$A$2:$A$54,0),MATCH(B59,'Data Collection'!$B$2:$E$2,0))</f>
        <v>62</v>
      </c>
      <c r="F59" s="44" t="str">
        <f t="array" aca="1" ref="F59" ca="1">IFERROR(_xludf.let(cell,INDEX('Data Collection'!$F$2:$I$54,MATCH(A59,'Data Collection'!$A$2:$A$54,0),MATCH(B59,'Data Collection'!$F$2:$I$2,0)),LEFT(cell, FIND("/", cell)-1) / MID(cell, FIND("/", cell)+1, LEN(cell))),"")</f>
        <v/>
      </c>
      <c r="G59" s="45">
        <f t="array" ref="G59">INDEX('Data Collection'!$J$2:$M$54,MATCH(A59,'Data Collection'!$A$2:$A$54,0),MATCH(B59,'Data Collection'!$J$2:$M$2,0))</f>
        <v>20</v>
      </c>
      <c r="H59" s="45">
        <f t="array" ref="H59">INDEX('Data Collection'!$N$2:$Q$54,MATCH(A59,'Data Collection'!$A$2:$A$54,0),MATCH(B59,'Data Collection'!$N$2:$Q$2,0))</f>
        <v>40</v>
      </c>
      <c r="I59" s="45">
        <f t="array" ref="I59">INDEX('Data Collection'!$R$2:$U$54,MATCH(A59,'Data Collection'!$A$2:$A$54,0),MATCH(B59,'Data Collection'!$R$2:$U$2,0))</f>
        <v>35</v>
      </c>
      <c r="J59" s="45">
        <f t="shared" si="3"/>
        <v>31.666666666666668</v>
      </c>
    </row>
    <row r="60" spans="1:10">
      <c r="A60" s="8">
        <f t="array" ref="A60">INDEX('Data Collection'!$A$3:$A$54, INT((ROW()-2)/4)+1)</f>
        <v>15</v>
      </c>
      <c r="B60" s="8" t="str">
        <f t="shared" si="0"/>
        <v>VS-AV</v>
      </c>
      <c r="C60" s="8" t="str">
        <f t="shared" si="1"/>
        <v>Auditory</v>
      </c>
      <c r="D60" s="8" t="str">
        <f t="shared" si="2"/>
        <v>Verbal</v>
      </c>
      <c r="E60" s="8">
        <f t="array" ref="E60">INDEX('Data Collection'!$B$2:$E$54,MATCH(A60,'Data Collection'!$A$2:$A$54,0),MATCH(B60,'Data Collection'!$B$2:$E$2,0))</f>
        <v>55</v>
      </c>
      <c r="F60" s="44" t="str">
        <f t="array" aca="1" ref="F60" ca="1">IFERROR(_xludf.let(cell,INDEX('Data Collection'!$F$2:$I$54,MATCH(A60,'Data Collection'!$A$2:$A$54,0),MATCH(B60,'Data Collection'!$F$2:$I$2,0)),LEFT(cell, FIND("/", cell)-1) / MID(cell, FIND("/", cell)+1, LEN(cell))),"")</f>
        <v/>
      </c>
      <c r="G60" s="45">
        <f t="array" ref="G60">INDEX('Data Collection'!$J$2:$M$54,MATCH(A60,'Data Collection'!$A$2:$A$54,0),MATCH(B60,'Data Collection'!$J$2:$M$2,0))</f>
        <v>65</v>
      </c>
      <c r="H60" s="45">
        <f t="array" ref="H60">INDEX('Data Collection'!$N$2:$Q$54,MATCH(A60,'Data Collection'!$A$2:$A$54,0),MATCH(B60,'Data Collection'!$N$2:$Q$2,0))</f>
        <v>60</v>
      </c>
      <c r="I60" s="45">
        <f t="array" ref="I60">INDEX('Data Collection'!$R$2:$U$54,MATCH(A60,'Data Collection'!$A$2:$A$54,0),MATCH(B60,'Data Collection'!$R$2:$U$2,0))</f>
        <v>35</v>
      </c>
      <c r="J60" s="45">
        <f t="shared" si="3"/>
        <v>53.333333333333336</v>
      </c>
    </row>
    <row r="61" spans="1:10">
      <c r="A61" s="8">
        <f t="array" ref="A61">INDEX('Data Collection'!$A$3:$A$54, INT((ROW()-2)/4)+1)</f>
        <v>15</v>
      </c>
      <c r="B61" s="8" t="str">
        <f t="shared" si="0"/>
        <v>VS-AS</v>
      </c>
      <c r="C61" s="8" t="str">
        <f t="shared" si="1"/>
        <v>Auditory</v>
      </c>
      <c r="D61" s="8" t="str">
        <f t="shared" si="2"/>
        <v>Spatial</v>
      </c>
      <c r="E61" s="8">
        <f t="array" ref="E61">INDEX('Data Collection'!$B$2:$E$54,MATCH(A61,'Data Collection'!$A$2:$A$54,0),MATCH(B61,'Data Collection'!$B$2:$E$2,0))</f>
        <v>70</v>
      </c>
      <c r="F61" s="44" t="str">
        <f t="array" aca="1" ref="F61" ca="1">IFERROR(_xludf.let(cell,INDEX('Data Collection'!$F$2:$I$54,MATCH(A61,'Data Collection'!$A$2:$A$54,0),MATCH(B61,'Data Collection'!$F$2:$I$2,0)),LEFT(cell, FIND("/", cell)-1) / MID(cell, FIND("/", cell)+1, LEN(cell))),"")</f>
        <v/>
      </c>
      <c r="G61" s="45">
        <f t="array" ref="G61">INDEX('Data Collection'!$J$2:$M$54,MATCH(A61,'Data Collection'!$A$2:$A$54,0),MATCH(B61,'Data Collection'!$J$2:$M$2,0))</f>
        <v>45</v>
      </c>
      <c r="H61" s="45">
        <f t="array" ref="H61">INDEX('Data Collection'!$N$2:$Q$54,MATCH(A61,'Data Collection'!$A$2:$A$54,0),MATCH(B61,'Data Collection'!$N$2:$Q$2,0))</f>
        <v>70</v>
      </c>
      <c r="I61" s="45">
        <f t="array" ref="I61">INDEX('Data Collection'!$R$2:$U$54,MATCH(A61,'Data Collection'!$A$2:$A$54,0),MATCH(B61,'Data Collection'!$R$2:$U$2,0))</f>
        <v>30</v>
      </c>
      <c r="J61" s="45">
        <f t="shared" si="3"/>
        <v>48.333333333333336</v>
      </c>
    </row>
    <row r="62" spans="1:10">
      <c r="A62" s="8">
        <f t="array" ref="A62">INDEX('Data Collection'!$A$3:$A$54, INT((ROW()-2)/4)+1)</f>
        <v>16</v>
      </c>
      <c r="B62" s="8" t="str">
        <f t="shared" si="0"/>
        <v>VS-VS</v>
      </c>
      <c r="C62" s="8" t="str">
        <f t="shared" si="1"/>
        <v>Visual</v>
      </c>
      <c r="D62" s="8" t="str">
        <f t="shared" si="2"/>
        <v>Spatial</v>
      </c>
      <c r="E62" s="8">
        <f t="array" ref="E62">INDEX('Data Collection'!$B$2:$E$54,MATCH(A62,'Data Collection'!$A$2:$A$54,0),MATCH(B62,'Data Collection'!$B$2:$E$2,0))</f>
        <v>104</v>
      </c>
      <c r="F62" s="44" t="str">
        <f t="array" aca="1" ref="F62" ca="1">IFERROR(_xludf.let(cell,INDEX('Data Collection'!$F$2:$I$54,MATCH(A62,'Data Collection'!$A$2:$A$54,0),MATCH(B62,'Data Collection'!$F$2:$I$2,0)),LEFT(cell, FIND("/", cell)-1) / MID(cell, FIND("/", cell)+1, LEN(cell))),"")</f>
        <v/>
      </c>
      <c r="G62" s="45">
        <f t="array" ref="G62">INDEX('Data Collection'!$J$2:$M$54,MATCH(A62,'Data Collection'!$A$2:$A$54,0),MATCH(B62,'Data Collection'!$J$2:$M$2,0))</f>
        <v>100</v>
      </c>
      <c r="H62" s="45">
        <f t="array" ref="H62">INDEX('Data Collection'!$N$2:$Q$54,MATCH(A62,'Data Collection'!$A$2:$A$54,0),MATCH(B62,'Data Collection'!$N$2:$Q$2,0))</f>
        <v>75</v>
      </c>
      <c r="I62" s="45">
        <f t="array" ref="I62">INDEX('Data Collection'!$R$2:$U$54,MATCH(A62,'Data Collection'!$A$2:$A$54,0),MATCH(B62,'Data Collection'!$R$2:$U$2,0))</f>
        <v>75</v>
      </c>
      <c r="J62" s="45">
        <f t="shared" si="3"/>
        <v>83.333333333333329</v>
      </c>
    </row>
    <row r="63" spans="1:10">
      <c r="A63" s="8">
        <f t="array" ref="A63">INDEX('Data Collection'!$A$3:$A$54, INT((ROW()-2)/4)+1)</f>
        <v>16</v>
      </c>
      <c r="B63" s="8" t="str">
        <f t="shared" si="0"/>
        <v>VS-VV</v>
      </c>
      <c r="C63" s="8" t="str">
        <f t="shared" si="1"/>
        <v>Visual</v>
      </c>
      <c r="D63" s="8" t="str">
        <f t="shared" si="2"/>
        <v>Verbal</v>
      </c>
      <c r="E63" s="8">
        <f t="array" ref="E63">INDEX('Data Collection'!$B$2:$E$54,MATCH(A63,'Data Collection'!$A$2:$A$54,0),MATCH(B63,'Data Collection'!$B$2:$E$2,0))</f>
        <v>82</v>
      </c>
      <c r="F63" s="44" t="str">
        <f t="array" aca="1" ref="F63" ca="1">IFERROR(_xludf.let(cell,INDEX('Data Collection'!$F$2:$I$54,MATCH(A63,'Data Collection'!$A$2:$A$54,0),MATCH(B63,'Data Collection'!$F$2:$I$2,0)),LEFT(cell, FIND("/", cell)-1) / MID(cell, FIND("/", cell)+1, LEN(cell))),"")</f>
        <v/>
      </c>
      <c r="G63" s="45">
        <f t="array" ref="G63">INDEX('Data Collection'!$J$2:$M$54,MATCH(A63,'Data Collection'!$A$2:$A$54,0),MATCH(B63,'Data Collection'!$J$2:$M$2,0))</f>
        <v>100</v>
      </c>
      <c r="H63" s="45">
        <f t="array" ref="H63">INDEX('Data Collection'!$N$2:$Q$54,MATCH(A63,'Data Collection'!$A$2:$A$54,0),MATCH(B63,'Data Collection'!$N$2:$Q$2,0))</f>
        <v>20</v>
      </c>
      <c r="I63" s="45">
        <f t="array" ref="I63">INDEX('Data Collection'!$R$2:$U$54,MATCH(A63,'Data Collection'!$A$2:$A$54,0),MATCH(B63,'Data Collection'!$R$2:$U$2,0))</f>
        <v>90</v>
      </c>
      <c r="J63" s="45">
        <f t="shared" si="3"/>
        <v>70</v>
      </c>
    </row>
    <row r="64" spans="1:10">
      <c r="A64" s="8">
        <f t="array" ref="A64">INDEX('Data Collection'!$A$3:$A$54, INT((ROW()-2)/4)+1)</f>
        <v>16</v>
      </c>
      <c r="B64" s="8" t="str">
        <f t="shared" si="0"/>
        <v>VS-AV</v>
      </c>
      <c r="C64" s="8" t="str">
        <f t="shared" si="1"/>
        <v>Auditory</v>
      </c>
      <c r="D64" s="8" t="str">
        <f t="shared" si="2"/>
        <v>Verbal</v>
      </c>
      <c r="E64" s="8">
        <f t="array" ref="E64">INDEX('Data Collection'!$B$2:$E$54,MATCH(A64,'Data Collection'!$A$2:$A$54,0),MATCH(B64,'Data Collection'!$B$2:$E$2,0))</f>
        <v>109</v>
      </c>
      <c r="F64" s="44" t="str">
        <f t="array" aca="1" ref="F64" ca="1">IFERROR(_xludf.let(cell,INDEX('Data Collection'!$F$2:$I$54,MATCH(A64,'Data Collection'!$A$2:$A$54,0),MATCH(B64,'Data Collection'!$F$2:$I$2,0)),LEFT(cell, FIND("/", cell)-1) / MID(cell, FIND("/", cell)+1, LEN(cell))),"")</f>
        <v/>
      </c>
      <c r="G64" s="45">
        <f t="array" ref="G64">INDEX('Data Collection'!$J$2:$M$54,MATCH(A64,'Data Collection'!$A$2:$A$54,0),MATCH(B64,'Data Collection'!$J$2:$M$2,0))</f>
        <v>100</v>
      </c>
      <c r="H64" s="45">
        <f t="array" ref="H64">INDEX('Data Collection'!$N$2:$Q$54,MATCH(A64,'Data Collection'!$A$2:$A$54,0),MATCH(B64,'Data Collection'!$N$2:$Q$2,0))</f>
        <v>35</v>
      </c>
      <c r="I64" s="45">
        <f t="array" ref="I64">INDEX('Data Collection'!$R$2:$U$54,MATCH(A64,'Data Collection'!$A$2:$A$54,0),MATCH(B64,'Data Collection'!$R$2:$U$2,0))</f>
        <v>85</v>
      </c>
      <c r="J64" s="45">
        <f t="shared" si="3"/>
        <v>73.333333333333329</v>
      </c>
    </row>
    <row r="65" spans="1:10">
      <c r="A65" s="8">
        <f t="array" ref="A65">INDEX('Data Collection'!$A$3:$A$54, INT((ROW()-2)/4)+1)</f>
        <v>16</v>
      </c>
      <c r="B65" s="8" t="str">
        <f t="shared" si="0"/>
        <v>VS-AS</v>
      </c>
      <c r="C65" s="8" t="str">
        <f t="shared" si="1"/>
        <v>Auditory</v>
      </c>
      <c r="D65" s="8" t="str">
        <f t="shared" si="2"/>
        <v>Spatial</v>
      </c>
      <c r="E65" s="8">
        <f t="array" ref="E65">INDEX('Data Collection'!$B$2:$E$54,MATCH(A65,'Data Collection'!$A$2:$A$54,0),MATCH(B65,'Data Collection'!$B$2:$E$2,0))</f>
        <v>94</v>
      </c>
      <c r="F65" s="44" t="str">
        <f t="array" aca="1" ref="F65" ca="1">IFERROR(_xludf.let(cell,INDEX('Data Collection'!$F$2:$I$54,MATCH(A65,'Data Collection'!$A$2:$A$54,0),MATCH(B65,'Data Collection'!$F$2:$I$2,0)),LEFT(cell, FIND("/", cell)-1) / MID(cell, FIND("/", cell)+1, LEN(cell))),"")</f>
        <v/>
      </c>
      <c r="G65" s="45">
        <f t="array" ref="G65">INDEX('Data Collection'!$J$2:$M$54,MATCH(A65,'Data Collection'!$A$2:$A$54,0),MATCH(B65,'Data Collection'!$J$2:$M$2,0))</f>
        <v>100</v>
      </c>
      <c r="H65" s="45">
        <f t="array" ref="H65">INDEX('Data Collection'!$N$2:$Q$54,MATCH(A65,'Data Collection'!$A$2:$A$54,0),MATCH(B65,'Data Collection'!$N$2:$Q$2,0))</f>
        <v>85</v>
      </c>
      <c r="I65" s="45">
        <f t="array" ref="I65">INDEX('Data Collection'!$R$2:$U$54,MATCH(A65,'Data Collection'!$A$2:$A$54,0),MATCH(B65,'Data Collection'!$R$2:$U$2,0))</f>
        <v>65</v>
      </c>
      <c r="J65" s="45">
        <f t="shared" si="3"/>
        <v>83.333333333333329</v>
      </c>
    </row>
    <row r="66" spans="1:10">
      <c r="A66" s="8">
        <f t="array" ref="A66">INDEX('Data Collection'!$A$3:$A$54, INT((ROW()-2)/4)+1)</f>
        <v>17</v>
      </c>
      <c r="B66" s="8" t="str">
        <f t="shared" si="0"/>
        <v>VS-VS</v>
      </c>
      <c r="C66" s="8" t="str">
        <f t="shared" si="1"/>
        <v>Visual</v>
      </c>
      <c r="D66" s="8" t="str">
        <f t="shared" si="2"/>
        <v>Spatial</v>
      </c>
      <c r="E66" s="8">
        <f t="array" ref="E66">INDEX('Data Collection'!$B$2:$E$54,MATCH(A66,'Data Collection'!$A$2:$A$54,0),MATCH(B66,'Data Collection'!$B$2:$E$2,0))</f>
        <v>80</v>
      </c>
      <c r="F66" s="44" t="str">
        <f t="array" aca="1" ref="F66" ca="1">IFERROR(_xludf.let(cell,INDEX('Data Collection'!$F$2:$I$54,MATCH(A66,'Data Collection'!$A$2:$A$54,0),MATCH(B66,'Data Collection'!$F$2:$I$2,0)),LEFT(cell, FIND("/", cell)-1) / MID(cell, FIND("/", cell)+1, LEN(cell))),"")</f>
        <v/>
      </c>
      <c r="G66" s="45">
        <f t="array" ref="G66">INDEX('Data Collection'!$J$2:$M$54,MATCH(A66,'Data Collection'!$A$2:$A$54,0),MATCH(B66,'Data Collection'!$J$2:$M$2,0))</f>
        <v>20</v>
      </c>
      <c r="H66" s="45">
        <f t="array" ref="H66">INDEX('Data Collection'!$N$2:$Q$54,MATCH(A66,'Data Collection'!$A$2:$A$54,0),MATCH(B66,'Data Collection'!$N$2:$Q$2,0))</f>
        <v>35</v>
      </c>
      <c r="I66" s="45">
        <f t="array" ref="I66">INDEX('Data Collection'!$R$2:$U$54,MATCH(A66,'Data Collection'!$A$2:$A$54,0),MATCH(B66,'Data Collection'!$R$2:$U$2,0))</f>
        <v>65</v>
      </c>
      <c r="J66" s="45">
        <f t="shared" si="3"/>
        <v>40</v>
      </c>
    </row>
    <row r="67" spans="1:10">
      <c r="A67" s="8">
        <f t="array" ref="A67">INDEX('Data Collection'!$A$3:$A$54, INT((ROW()-2)/4)+1)</f>
        <v>17</v>
      </c>
      <c r="B67" s="8" t="str">
        <f t="shared" si="0"/>
        <v>VS-VV</v>
      </c>
      <c r="C67" s="8" t="str">
        <f t="shared" si="1"/>
        <v>Visual</v>
      </c>
      <c r="D67" s="8" t="str">
        <f t="shared" si="2"/>
        <v>Verbal</v>
      </c>
      <c r="E67" s="8">
        <f t="array" ref="E67">INDEX('Data Collection'!$B$2:$E$54,MATCH(A67,'Data Collection'!$A$2:$A$54,0),MATCH(B67,'Data Collection'!$B$2:$E$2,0))</f>
        <v>70</v>
      </c>
      <c r="F67" s="44" t="str">
        <f t="array" aca="1" ref="F67" ca="1">IFERROR(_xludf.let(cell,INDEX('Data Collection'!$F$2:$I$54,MATCH(A67,'Data Collection'!$A$2:$A$54,0),MATCH(B67,'Data Collection'!$F$2:$I$2,0)),LEFT(cell, FIND("/", cell)-1) / MID(cell, FIND("/", cell)+1, LEN(cell))),"")</f>
        <v/>
      </c>
      <c r="G67" s="45">
        <f t="array" ref="G67">INDEX('Data Collection'!$J$2:$M$54,MATCH(A67,'Data Collection'!$A$2:$A$54,0),MATCH(B67,'Data Collection'!$J$2:$M$2,0))</f>
        <v>30</v>
      </c>
      <c r="H67" s="45">
        <f t="array" ref="H67">INDEX('Data Collection'!$N$2:$Q$54,MATCH(A67,'Data Collection'!$A$2:$A$54,0),MATCH(B67,'Data Collection'!$N$2:$Q$2,0))</f>
        <v>45</v>
      </c>
      <c r="I67" s="45">
        <f t="array" ref="I67">INDEX('Data Collection'!$R$2:$U$54,MATCH(A67,'Data Collection'!$A$2:$A$54,0),MATCH(B67,'Data Collection'!$R$2:$U$2,0))</f>
        <v>55</v>
      </c>
      <c r="J67" s="45">
        <f t="shared" si="3"/>
        <v>43.333333333333336</v>
      </c>
    </row>
    <row r="68" spans="1:10">
      <c r="A68" s="8">
        <f t="array" ref="A68">INDEX('Data Collection'!$A$3:$A$54, INT((ROW()-2)/4)+1)</f>
        <v>17</v>
      </c>
      <c r="B68" s="8" t="str">
        <f t="shared" si="0"/>
        <v>VS-AV</v>
      </c>
      <c r="C68" s="8" t="str">
        <f t="shared" si="1"/>
        <v>Auditory</v>
      </c>
      <c r="D68" s="8" t="str">
        <f t="shared" si="2"/>
        <v>Verbal</v>
      </c>
      <c r="E68" s="8">
        <f t="array" ref="E68">INDEX('Data Collection'!$B$2:$E$54,MATCH(A68,'Data Collection'!$A$2:$A$54,0),MATCH(B68,'Data Collection'!$B$2:$E$2,0))</f>
        <v>62</v>
      </c>
      <c r="F68" s="44" t="str">
        <f t="array" aca="1" ref="F68" ca="1">IFERROR(_xludf.let(cell,INDEX('Data Collection'!$F$2:$I$54,MATCH(A68,'Data Collection'!$A$2:$A$54,0),MATCH(B68,'Data Collection'!$F$2:$I$2,0)),LEFT(cell, FIND("/", cell)-1) / MID(cell, FIND("/", cell)+1, LEN(cell))),"")</f>
        <v/>
      </c>
      <c r="G68" s="45">
        <f t="array" ref="G68">INDEX('Data Collection'!$J$2:$M$54,MATCH(A68,'Data Collection'!$A$2:$A$54,0),MATCH(B68,'Data Collection'!$J$2:$M$2,0))</f>
        <v>25</v>
      </c>
      <c r="H68" s="45">
        <f t="array" ref="H68">INDEX('Data Collection'!$N$2:$Q$54,MATCH(A68,'Data Collection'!$A$2:$A$54,0),MATCH(B68,'Data Collection'!$N$2:$Q$2,0))</f>
        <v>65</v>
      </c>
      <c r="I68" s="45">
        <f t="array" ref="I68">INDEX('Data Collection'!$R$2:$U$54,MATCH(A68,'Data Collection'!$A$2:$A$54,0),MATCH(B68,'Data Collection'!$R$2:$U$2,0))</f>
        <v>35</v>
      </c>
      <c r="J68" s="45">
        <f t="shared" si="3"/>
        <v>41.666666666666664</v>
      </c>
    </row>
    <row r="69" spans="1:10">
      <c r="A69" s="8">
        <f t="array" ref="A69">INDEX('Data Collection'!$A$3:$A$54, INT((ROW()-2)/4)+1)</f>
        <v>17</v>
      </c>
      <c r="B69" s="8" t="str">
        <f t="shared" si="0"/>
        <v>VS-AS</v>
      </c>
      <c r="C69" s="8" t="str">
        <f t="shared" si="1"/>
        <v>Auditory</v>
      </c>
      <c r="D69" s="8" t="str">
        <f t="shared" si="2"/>
        <v>Spatial</v>
      </c>
      <c r="E69" s="8">
        <f t="array" ref="E69">INDEX('Data Collection'!$B$2:$E$54,MATCH(A69,'Data Collection'!$A$2:$A$54,0),MATCH(B69,'Data Collection'!$B$2:$E$2,0))</f>
        <v>67</v>
      </c>
      <c r="F69" s="44" t="str">
        <f t="array" aca="1" ref="F69" ca="1">IFERROR(_xludf.let(cell,INDEX('Data Collection'!$F$2:$I$54,MATCH(A69,'Data Collection'!$A$2:$A$54,0),MATCH(B69,'Data Collection'!$F$2:$I$2,0)),LEFT(cell, FIND("/", cell)-1) / MID(cell, FIND("/", cell)+1, LEN(cell))),"")</f>
        <v/>
      </c>
      <c r="G69" s="45">
        <f t="array" ref="G69">INDEX('Data Collection'!$J$2:$M$54,MATCH(A69,'Data Collection'!$A$2:$A$54,0),MATCH(B69,'Data Collection'!$J$2:$M$2,0))</f>
        <v>25</v>
      </c>
      <c r="H69" s="45">
        <f t="array" ref="H69">INDEX('Data Collection'!$N$2:$Q$54,MATCH(A69,'Data Collection'!$A$2:$A$54,0),MATCH(B69,'Data Collection'!$N$2:$Q$2,0))</f>
        <v>65</v>
      </c>
      <c r="I69" s="45">
        <f t="array" ref="I69">INDEX('Data Collection'!$R$2:$U$54,MATCH(A69,'Data Collection'!$A$2:$A$54,0),MATCH(B69,'Data Collection'!$R$2:$U$2,0))</f>
        <v>60</v>
      </c>
      <c r="J69" s="45">
        <f t="shared" si="3"/>
        <v>50</v>
      </c>
    </row>
    <row r="70" spans="1:10">
      <c r="A70" s="8">
        <f t="array" ref="A70">INDEX('Data Collection'!$A$3:$A$54, INT((ROW()-2)/4)+1)</f>
        <v>18</v>
      </c>
      <c r="B70" s="8" t="str">
        <f t="shared" si="0"/>
        <v>VS-VS</v>
      </c>
      <c r="C70" s="8" t="str">
        <f t="shared" si="1"/>
        <v>Visual</v>
      </c>
      <c r="D70" s="8" t="str">
        <f t="shared" si="2"/>
        <v>Spatial</v>
      </c>
      <c r="E70" s="8">
        <f t="array" ref="E70">INDEX('Data Collection'!$B$2:$E$54,MATCH(A70,'Data Collection'!$A$2:$A$54,0),MATCH(B70,'Data Collection'!$B$2:$E$2,0))</f>
        <v>67</v>
      </c>
      <c r="F70" s="44" t="str">
        <f t="array" aca="1" ref="F70" ca="1">IFERROR(_xludf.let(cell,INDEX('Data Collection'!$F$2:$I$54,MATCH(A70,'Data Collection'!$A$2:$A$54,0),MATCH(B70,'Data Collection'!$F$2:$I$2,0)),LEFT(cell, FIND("/", cell)-1) / MID(cell, FIND("/", cell)+1, LEN(cell))),"")</f>
        <v/>
      </c>
      <c r="G70" s="45">
        <f t="array" ref="G70">INDEX('Data Collection'!$J$2:$M$54,MATCH(A70,'Data Collection'!$A$2:$A$54,0),MATCH(B70,'Data Collection'!$J$2:$M$2,0))</f>
        <v>65</v>
      </c>
      <c r="H70" s="45">
        <f t="array" ref="H70">INDEX('Data Collection'!$N$2:$Q$54,MATCH(A70,'Data Collection'!$A$2:$A$54,0),MATCH(B70,'Data Collection'!$N$2:$Q$2,0))</f>
        <v>60</v>
      </c>
      <c r="I70" s="45">
        <f t="array" ref="I70">INDEX('Data Collection'!$R$2:$U$54,MATCH(A70,'Data Collection'!$A$2:$A$54,0),MATCH(B70,'Data Collection'!$R$2:$U$2,0))</f>
        <v>60</v>
      </c>
      <c r="J70" s="45">
        <f t="shared" si="3"/>
        <v>61.666666666666664</v>
      </c>
    </row>
    <row r="71" spans="1:10">
      <c r="A71" s="8">
        <f t="array" ref="A71">INDEX('Data Collection'!$A$3:$A$54, INT((ROW()-2)/4)+1)</f>
        <v>18</v>
      </c>
      <c r="B71" s="8" t="str">
        <f t="shared" si="0"/>
        <v>VS-VV</v>
      </c>
      <c r="C71" s="8" t="str">
        <f t="shared" si="1"/>
        <v>Visual</v>
      </c>
      <c r="D71" s="8" t="str">
        <f t="shared" si="2"/>
        <v>Verbal</v>
      </c>
      <c r="E71" s="8">
        <f t="array" ref="E71">INDEX('Data Collection'!$B$2:$E$54,MATCH(A71,'Data Collection'!$A$2:$A$54,0),MATCH(B71,'Data Collection'!$B$2:$E$2,0))</f>
        <v>64</v>
      </c>
      <c r="F71" s="44" t="str">
        <f t="array" aca="1" ref="F71" ca="1">IFERROR(_xludf.let(cell,INDEX('Data Collection'!$F$2:$I$54,MATCH(A71,'Data Collection'!$A$2:$A$54,0),MATCH(B71,'Data Collection'!$F$2:$I$2,0)),LEFT(cell, FIND("/", cell)-1) / MID(cell, FIND("/", cell)+1, LEN(cell))),"")</f>
        <v/>
      </c>
      <c r="G71" s="45">
        <f t="array" ref="G71">INDEX('Data Collection'!$J$2:$M$54,MATCH(A71,'Data Collection'!$A$2:$A$54,0),MATCH(B71,'Data Collection'!$J$2:$M$2,0))</f>
        <v>20</v>
      </c>
      <c r="H71" s="45">
        <f t="array" ref="H71">INDEX('Data Collection'!$N$2:$Q$54,MATCH(A71,'Data Collection'!$A$2:$A$54,0),MATCH(B71,'Data Collection'!$N$2:$Q$2,0))</f>
        <v>40</v>
      </c>
      <c r="I71" s="45">
        <f t="array" ref="I71">INDEX('Data Collection'!$R$2:$U$54,MATCH(A71,'Data Collection'!$A$2:$A$54,0),MATCH(B71,'Data Collection'!$R$2:$U$2,0))</f>
        <v>30</v>
      </c>
      <c r="J71" s="45">
        <f t="shared" si="3"/>
        <v>30</v>
      </c>
    </row>
    <row r="72" spans="1:10">
      <c r="A72" s="8">
        <f t="array" ref="A72">INDEX('Data Collection'!$A$3:$A$54, INT((ROW()-2)/4)+1)</f>
        <v>18</v>
      </c>
      <c r="B72" s="8" t="str">
        <f t="shared" si="0"/>
        <v>VS-AV</v>
      </c>
      <c r="C72" s="8" t="str">
        <f t="shared" si="1"/>
        <v>Auditory</v>
      </c>
      <c r="D72" s="8" t="str">
        <f t="shared" si="2"/>
        <v>Verbal</v>
      </c>
      <c r="E72" s="8">
        <f t="array" ref="E72">INDEX('Data Collection'!$B$2:$E$54,MATCH(A72,'Data Collection'!$A$2:$A$54,0),MATCH(B72,'Data Collection'!$B$2:$E$2,0))</f>
        <v>54</v>
      </c>
      <c r="F72" s="44" t="str">
        <f t="array" aca="1" ref="F72" ca="1">IFERROR(_xludf.let(cell,INDEX('Data Collection'!$F$2:$I$54,MATCH(A72,'Data Collection'!$A$2:$A$54,0),MATCH(B72,'Data Collection'!$F$2:$I$2,0)),LEFT(cell, FIND("/", cell)-1) / MID(cell, FIND("/", cell)+1, LEN(cell))),"")</f>
        <v/>
      </c>
      <c r="G72" s="45">
        <f t="array" ref="G72">INDEX('Data Collection'!$J$2:$M$54,MATCH(A72,'Data Collection'!$A$2:$A$54,0),MATCH(B72,'Data Collection'!$J$2:$M$2,0))</f>
        <v>35</v>
      </c>
      <c r="H72" s="45">
        <f t="array" ref="H72">INDEX('Data Collection'!$N$2:$Q$54,MATCH(A72,'Data Collection'!$A$2:$A$54,0),MATCH(B72,'Data Collection'!$N$2:$Q$2,0))</f>
        <v>30</v>
      </c>
      <c r="I72" s="45">
        <f t="array" ref="I72">INDEX('Data Collection'!$R$2:$U$54,MATCH(A72,'Data Collection'!$A$2:$A$54,0),MATCH(B72,'Data Collection'!$R$2:$U$2,0))</f>
        <v>40</v>
      </c>
      <c r="J72" s="45">
        <f t="shared" si="3"/>
        <v>35</v>
      </c>
    </row>
    <row r="73" spans="1:10">
      <c r="A73" s="8">
        <f t="array" ref="A73">INDEX('Data Collection'!$A$3:$A$54, INT((ROW()-2)/4)+1)</f>
        <v>18</v>
      </c>
      <c r="B73" s="8" t="str">
        <f t="shared" si="0"/>
        <v>VS-AS</v>
      </c>
      <c r="C73" s="8" t="str">
        <f t="shared" si="1"/>
        <v>Auditory</v>
      </c>
      <c r="D73" s="8" t="str">
        <f t="shared" si="2"/>
        <v>Spatial</v>
      </c>
      <c r="E73" s="8">
        <f t="array" ref="E73">INDEX('Data Collection'!$B$2:$E$54,MATCH(A73,'Data Collection'!$A$2:$A$54,0),MATCH(B73,'Data Collection'!$B$2:$E$2,0))</f>
        <v>58</v>
      </c>
      <c r="F73" s="44" t="str">
        <f t="array" aca="1" ref="F73" ca="1">IFERROR(_xludf.let(cell,INDEX('Data Collection'!$F$2:$I$54,MATCH(A73,'Data Collection'!$A$2:$A$54,0),MATCH(B73,'Data Collection'!$F$2:$I$2,0)),LEFT(cell, FIND("/", cell)-1) / MID(cell, FIND("/", cell)+1, LEN(cell))),"")</f>
        <v/>
      </c>
      <c r="G73" s="45">
        <f t="array" ref="G73">INDEX('Data Collection'!$J$2:$M$54,MATCH(A73,'Data Collection'!$A$2:$A$54,0),MATCH(B73,'Data Collection'!$J$2:$M$2,0))</f>
        <v>60</v>
      </c>
      <c r="H73" s="45">
        <f t="array" ref="H73">INDEX('Data Collection'!$N$2:$Q$54,MATCH(A73,'Data Collection'!$A$2:$A$54,0),MATCH(B73,'Data Collection'!$N$2:$Q$2,0))</f>
        <v>45</v>
      </c>
      <c r="I73" s="45">
        <f t="array" ref="I73">INDEX('Data Collection'!$R$2:$U$54,MATCH(A73,'Data Collection'!$A$2:$A$54,0),MATCH(B73,'Data Collection'!$R$2:$U$2,0))</f>
        <v>40</v>
      </c>
      <c r="J73" s="45">
        <f t="shared" si="3"/>
        <v>48.333333333333336</v>
      </c>
    </row>
    <row r="74" spans="1:10">
      <c r="A74" s="8">
        <f t="array" ref="A74">INDEX('Data Collection'!$A$3:$A$54, INT((ROW()-2)/4)+1)</f>
        <v>19</v>
      </c>
      <c r="B74" s="8" t="str">
        <f t="shared" si="0"/>
        <v>VS-VS</v>
      </c>
      <c r="C74" s="8" t="str">
        <f t="shared" si="1"/>
        <v>Visual</v>
      </c>
      <c r="D74" s="8" t="str">
        <f t="shared" si="2"/>
        <v>Spatial</v>
      </c>
      <c r="E74" s="8">
        <f t="array" ref="E74">INDEX('Data Collection'!$B$2:$E$54,MATCH(A74,'Data Collection'!$A$2:$A$54,0),MATCH(B74,'Data Collection'!$B$2:$E$2,0))</f>
        <v>77</v>
      </c>
      <c r="F74" s="44" t="str">
        <f t="array" aca="1" ref="F74" ca="1">IFERROR(_xludf.let(cell,INDEX('Data Collection'!$F$2:$I$54,MATCH(A74,'Data Collection'!$A$2:$A$54,0),MATCH(B74,'Data Collection'!$F$2:$I$2,0)),LEFT(cell, FIND("/", cell)-1) / MID(cell, FIND("/", cell)+1, LEN(cell))),"")</f>
        <v/>
      </c>
      <c r="G74" s="45">
        <f t="array" ref="G74">INDEX('Data Collection'!$J$2:$M$54,MATCH(A74,'Data Collection'!$A$2:$A$54,0),MATCH(B74,'Data Collection'!$J$2:$M$2,0))</f>
        <v>0</v>
      </c>
      <c r="H74" s="45">
        <f t="array" ref="H74">INDEX('Data Collection'!$N$2:$Q$54,MATCH(A74,'Data Collection'!$A$2:$A$54,0),MATCH(B74,'Data Collection'!$N$2:$Q$2,0))</f>
        <v>30</v>
      </c>
      <c r="I74" s="45">
        <f t="array" ref="I74">INDEX('Data Collection'!$R$2:$U$54,MATCH(A74,'Data Collection'!$A$2:$A$54,0),MATCH(B74,'Data Collection'!$R$2:$U$2,0))</f>
        <v>30</v>
      </c>
      <c r="J74" s="45">
        <f t="shared" si="3"/>
        <v>20</v>
      </c>
    </row>
    <row r="75" spans="1:10">
      <c r="A75" s="8">
        <f t="array" ref="A75">INDEX('Data Collection'!$A$3:$A$54, INT((ROW()-2)/4)+1)</f>
        <v>19</v>
      </c>
      <c r="B75" s="8" t="str">
        <f t="shared" si="0"/>
        <v>VS-VV</v>
      </c>
      <c r="C75" s="8" t="str">
        <f t="shared" si="1"/>
        <v>Visual</v>
      </c>
      <c r="D75" s="8" t="str">
        <f t="shared" si="2"/>
        <v>Verbal</v>
      </c>
      <c r="E75" s="8">
        <f t="array" ref="E75">INDEX('Data Collection'!$B$2:$E$54,MATCH(A75,'Data Collection'!$A$2:$A$54,0),MATCH(B75,'Data Collection'!$B$2:$E$2,0))</f>
        <v>75</v>
      </c>
      <c r="F75" s="44" t="str">
        <f t="array" aca="1" ref="F75" ca="1">IFERROR(_xludf.let(cell,INDEX('Data Collection'!$F$2:$I$54,MATCH(A75,'Data Collection'!$A$2:$A$54,0),MATCH(B75,'Data Collection'!$F$2:$I$2,0)),LEFT(cell, FIND("/", cell)-1) / MID(cell, FIND("/", cell)+1, LEN(cell))),"")</f>
        <v/>
      </c>
      <c r="G75" s="45">
        <f t="array" ref="G75">INDEX('Data Collection'!$J$2:$M$54,MATCH(A75,'Data Collection'!$A$2:$A$54,0),MATCH(B75,'Data Collection'!$J$2:$M$2,0))</f>
        <v>0</v>
      </c>
      <c r="H75" s="45">
        <f t="array" ref="H75">INDEX('Data Collection'!$N$2:$Q$54,MATCH(A75,'Data Collection'!$A$2:$A$54,0),MATCH(B75,'Data Collection'!$N$2:$Q$2,0))</f>
        <v>30</v>
      </c>
      <c r="I75" s="45">
        <f t="array" ref="I75">INDEX('Data Collection'!$R$2:$U$54,MATCH(A75,'Data Collection'!$A$2:$A$54,0),MATCH(B75,'Data Collection'!$R$2:$U$2,0))</f>
        <v>25</v>
      </c>
      <c r="J75" s="45">
        <f t="shared" si="3"/>
        <v>18.333333333333332</v>
      </c>
    </row>
    <row r="76" spans="1:10">
      <c r="A76" s="8">
        <f t="array" ref="A76">INDEX('Data Collection'!$A$3:$A$54, INT((ROW()-2)/4)+1)</f>
        <v>19</v>
      </c>
      <c r="B76" s="8" t="str">
        <f t="shared" si="0"/>
        <v>VS-AV</v>
      </c>
      <c r="C76" s="8" t="str">
        <f t="shared" si="1"/>
        <v>Auditory</v>
      </c>
      <c r="D76" s="8" t="str">
        <f t="shared" si="2"/>
        <v>Verbal</v>
      </c>
      <c r="E76" s="8">
        <f t="array" ref="E76">INDEX('Data Collection'!$B$2:$E$54,MATCH(A76,'Data Collection'!$A$2:$A$54,0),MATCH(B76,'Data Collection'!$B$2:$E$2,0))</f>
        <v>70</v>
      </c>
      <c r="F76" s="44" t="str">
        <f t="array" aca="1" ref="F76" ca="1">IFERROR(_xludf.let(cell,INDEX('Data Collection'!$F$2:$I$54,MATCH(A76,'Data Collection'!$A$2:$A$54,0),MATCH(B76,'Data Collection'!$F$2:$I$2,0)),LEFT(cell, FIND("/", cell)-1) / MID(cell, FIND("/", cell)+1, LEN(cell))),"")</f>
        <v/>
      </c>
      <c r="G76" s="45">
        <f t="array" ref="G76">INDEX('Data Collection'!$J$2:$M$54,MATCH(A76,'Data Collection'!$A$2:$A$54,0),MATCH(B76,'Data Collection'!$J$2:$M$2,0))</f>
        <v>15</v>
      </c>
      <c r="H76" s="45">
        <f t="array" ref="H76">INDEX('Data Collection'!$N$2:$Q$54,MATCH(A76,'Data Collection'!$A$2:$A$54,0),MATCH(B76,'Data Collection'!$N$2:$Q$2,0))</f>
        <v>40</v>
      </c>
      <c r="I76" s="45">
        <f t="array" ref="I76">INDEX('Data Collection'!$R$2:$U$54,MATCH(A76,'Data Collection'!$A$2:$A$54,0),MATCH(B76,'Data Collection'!$R$2:$U$2,0))</f>
        <v>30</v>
      </c>
      <c r="J76" s="45">
        <f t="shared" si="3"/>
        <v>28.333333333333332</v>
      </c>
    </row>
    <row r="77" spans="1:10">
      <c r="A77" s="8">
        <f t="array" ref="A77">INDEX('Data Collection'!$A$3:$A$54, INT((ROW()-2)/4)+1)</f>
        <v>19</v>
      </c>
      <c r="B77" s="8" t="str">
        <f t="shared" si="0"/>
        <v>VS-AS</v>
      </c>
      <c r="C77" s="8" t="str">
        <f t="shared" si="1"/>
        <v>Auditory</v>
      </c>
      <c r="D77" s="8" t="str">
        <f t="shared" si="2"/>
        <v>Spatial</v>
      </c>
      <c r="E77" s="8">
        <f t="array" ref="E77">INDEX('Data Collection'!$B$2:$E$54,MATCH(A77,'Data Collection'!$A$2:$A$54,0),MATCH(B77,'Data Collection'!$B$2:$E$2,0))</f>
        <v>83</v>
      </c>
      <c r="F77" s="44" t="str">
        <f t="array" aca="1" ref="F77" ca="1">IFERROR(_xludf.let(cell,INDEX('Data Collection'!$F$2:$I$54,MATCH(A77,'Data Collection'!$A$2:$A$54,0),MATCH(B77,'Data Collection'!$F$2:$I$2,0)),LEFT(cell, FIND("/", cell)-1) / MID(cell, FIND("/", cell)+1, LEN(cell))),"")</f>
        <v/>
      </c>
      <c r="G77" s="45">
        <f t="array" ref="G77">INDEX('Data Collection'!$J$2:$M$54,MATCH(A77,'Data Collection'!$A$2:$A$54,0),MATCH(B77,'Data Collection'!$J$2:$M$2,0))</f>
        <v>0</v>
      </c>
      <c r="H77" s="45">
        <f t="array" ref="H77">INDEX('Data Collection'!$N$2:$Q$54,MATCH(A77,'Data Collection'!$A$2:$A$54,0),MATCH(B77,'Data Collection'!$N$2:$Q$2,0))</f>
        <v>30</v>
      </c>
      <c r="I77" s="45">
        <f t="array" ref="I77">INDEX('Data Collection'!$R$2:$U$54,MATCH(A77,'Data Collection'!$A$2:$A$54,0),MATCH(B77,'Data Collection'!$R$2:$U$2,0))</f>
        <v>20</v>
      </c>
      <c r="J77" s="45">
        <f t="shared" si="3"/>
        <v>16.666666666666668</v>
      </c>
    </row>
    <row r="78" spans="1:10">
      <c r="A78" s="8">
        <f t="array" ref="A78">INDEX('Data Collection'!$A$3:$A$54, INT((ROW()-2)/4)+1)</f>
        <v>20</v>
      </c>
      <c r="B78" s="8" t="str">
        <f t="shared" si="0"/>
        <v>VS-VS</v>
      </c>
      <c r="C78" s="8" t="str">
        <f t="shared" si="1"/>
        <v>Visual</v>
      </c>
      <c r="D78" s="8" t="str">
        <f t="shared" si="2"/>
        <v>Spatial</v>
      </c>
      <c r="E78" s="8">
        <f t="array" ref="E78">INDEX('Data Collection'!$B$2:$E$54,MATCH(A78,'Data Collection'!$A$2:$A$54,0),MATCH(B78,'Data Collection'!$B$2:$E$2,0))</f>
        <v>97</v>
      </c>
      <c r="F78" s="44" t="str">
        <f t="array" aca="1" ref="F78" ca="1">IFERROR(_xludf.let(cell,INDEX('Data Collection'!$F$2:$I$54,MATCH(A78,'Data Collection'!$A$2:$A$54,0),MATCH(B78,'Data Collection'!$F$2:$I$2,0)),LEFT(cell, FIND("/", cell)-1) / MID(cell, FIND("/", cell)+1, LEN(cell))),"")</f>
        <v/>
      </c>
      <c r="G78" s="45">
        <f t="array" ref="G78">INDEX('Data Collection'!$J$2:$M$54,MATCH(A78,'Data Collection'!$A$2:$A$54,0),MATCH(B78,'Data Collection'!$J$2:$M$2,0))</f>
        <v>25</v>
      </c>
      <c r="H78" s="45">
        <f t="array" ref="H78">INDEX('Data Collection'!$N$2:$Q$54,MATCH(A78,'Data Collection'!$A$2:$A$54,0),MATCH(B78,'Data Collection'!$N$2:$Q$2,0))</f>
        <v>30</v>
      </c>
      <c r="I78" s="45">
        <f t="array" ref="I78">INDEX('Data Collection'!$R$2:$U$54,MATCH(A78,'Data Collection'!$A$2:$A$54,0),MATCH(B78,'Data Collection'!$R$2:$U$2,0))</f>
        <v>50</v>
      </c>
      <c r="J78" s="45">
        <f t="shared" si="3"/>
        <v>35</v>
      </c>
    </row>
    <row r="79" spans="1:10">
      <c r="A79" s="8">
        <f t="array" ref="A79">INDEX('Data Collection'!$A$3:$A$54, INT((ROW()-2)/4)+1)</f>
        <v>20</v>
      </c>
      <c r="B79" s="8" t="str">
        <f t="shared" si="0"/>
        <v>VS-VV</v>
      </c>
      <c r="C79" s="8" t="str">
        <f t="shared" si="1"/>
        <v>Visual</v>
      </c>
      <c r="D79" s="8" t="str">
        <f t="shared" si="2"/>
        <v>Verbal</v>
      </c>
      <c r="E79" s="8">
        <f t="array" ref="E79">INDEX('Data Collection'!$B$2:$E$54,MATCH(A79,'Data Collection'!$A$2:$A$54,0),MATCH(B79,'Data Collection'!$B$2:$E$2,0))</f>
        <v>91</v>
      </c>
      <c r="F79" s="44" t="str">
        <f t="array" aca="1" ref="F79" ca="1">IFERROR(_xludf.let(cell,INDEX('Data Collection'!$F$2:$I$54,MATCH(A79,'Data Collection'!$A$2:$A$54,0),MATCH(B79,'Data Collection'!$F$2:$I$2,0)),LEFT(cell, FIND("/", cell)-1) / MID(cell, FIND("/", cell)+1, LEN(cell))),"")</f>
        <v/>
      </c>
      <c r="G79" s="45">
        <f t="array" ref="G79">INDEX('Data Collection'!$J$2:$M$54,MATCH(A79,'Data Collection'!$A$2:$A$54,0),MATCH(B79,'Data Collection'!$J$2:$M$2,0))</f>
        <v>10</v>
      </c>
      <c r="H79" s="45">
        <f t="array" ref="H79">INDEX('Data Collection'!$N$2:$Q$54,MATCH(A79,'Data Collection'!$A$2:$A$54,0),MATCH(B79,'Data Collection'!$N$2:$Q$2,0))</f>
        <v>25</v>
      </c>
      <c r="I79" s="45">
        <f t="array" ref="I79">INDEX('Data Collection'!$R$2:$U$54,MATCH(A79,'Data Collection'!$A$2:$A$54,0),MATCH(B79,'Data Collection'!$R$2:$U$2,0))</f>
        <v>30</v>
      </c>
      <c r="J79" s="45">
        <f t="shared" si="3"/>
        <v>21.666666666666668</v>
      </c>
    </row>
    <row r="80" spans="1:10">
      <c r="A80" s="8">
        <f t="array" ref="A80">INDEX('Data Collection'!$A$3:$A$54, INT((ROW()-2)/4)+1)</f>
        <v>20</v>
      </c>
      <c r="B80" s="8" t="str">
        <f t="shared" si="0"/>
        <v>VS-AV</v>
      </c>
      <c r="C80" s="8" t="str">
        <f t="shared" si="1"/>
        <v>Auditory</v>
      </c>
      <c r="D80" s="8" t="str">
        <f t="shared" si="2"/>
        <v>Verbal</v>
      </c>
      <c r="E80" s="8">
        <f t="array" ref="E80">INDEX('Data Collection'!$B$2:$E$54,MATCH(A80,'Data Collection'!$A$2:$A$54,0),MATCH(B80,'Data Collection'!$B$2:$E$2,0))</f>
        <v>82</v>
      </c>
      <c r="F80" s="44" t="str">
        <f t="array" aca="1" ref="F80" ca="1">IFERROR(_xludf.let(cell,INDEX('Data Collection'!$F$2:$I$54,MATCH(A80,'Data Collection'!$A$2:$A$54,0),MATCH(B80,'Data Collection'!$F$2:$I$2,0)),LEFT(cell, FIND("/", cell)-1) / MID(cell, FIND("/", cell)+1, LEN(cell))),"")</f>
        <v/>
      </c>
      <c r="G80" s="45">
        <f t="array" ref="G80">INDEX('Data Collection'!$J$2:$M$54,MATCH(A80,'Data Collection'!$A$2:$A$54,0),MATCH(B80,'Data Collection'!$J$2:$M$2,0))</f>
        <v>80</v>
      </c>
      <c r="H80" s="45">
        <f t="array" ref="H80">INDEX('Data Collection'!$N$2:$Q$54,MATCH(A80,'Data Collection'!$A$2:$A$54,0),MATCH(B80,'Data Collection'!$N$2:$Q$2,0))</f>
        <v>40</v>
      </c>
      <c r="I80" s="45">
        <f t="array" ref="I80">INDEX('Data Collection'!$R$2:$U$54,MATCH(A80,'Data Collection'!$A$2:$A$54,0),MATCH(B80,'Data Collection'!$R$2:$U$2,0))</f>
        <v>35</v>
      </c>
      <c r="J80" s="45">
        <f t="shared" si="3"/>
        <v>51.666666666666664</v>
      </c>
    </row>
    <row r="81" spans="1:10">
      <c r="A81" s="8">
        <f t="array" ref="A81">INDEX('Data Collection'!$A$3:$A$54, INT((ROW()-2)/4)+1)</f>
        <v>20</v>
      </c>
      <c r="B81" s="8" t="str">
        <f t="shared" si="0"/>
        <v>VS-AS</v>
      </c>
      <c r="C81" s="8" t="str">
        <f t="shared" si="1"/>
        <v>Auditory</v>
      </c>
      <c r="D81" s="8" t="str">
        <f t="shared" si="2"/>
        <v>Spatial</v>
      </c>
      <c r="E81" s="8">
        <f t="array" ref="E81">INDEX('Data Collection'!$B$2:$E$54,MATCH(A81,'Data Collection'!$A$2:$A$54,0),MATCH(B81,'Data Collection'!$B$2:$E$2,0))</f>
        <v>108</v>
      </c>
      <c r="F81" s="44" t="str">
        <f t="array" aca="1" ref="F81" ca="1">IFERROR(_xludf.let(cell,INDEX('Data Collection'!$F$2:$I$54,MATCH(A81,'Data Collection'!$A$2:$A$54,0),MATCH(B81,'Data Collection'!$F$2:$I$2,0)),LEFT(cell, FIND("/", cell)-1) / MID(cell, FIND("/", cell)+1, LEN(cell))),"")</f>
        <v/>
      </c>
      <c r="G81" s="45">
        <f t="array" ref="G81">INDEX('Data Collection'!$J$2:$M$54,MATCH(A81,'Data Collection'!$A$2:$A$54,0),MATCH(B81,'Data Collection'!$J$2:$M$2,0))</f>
        <v>60</v>
      </c>
      <c r="H81" s="45">
        <f t="array" ref="H81">INDEX('Data Collection'!$N$2:$Q$54,MATCH(A81,'Data Collection'!$A$2:$A$54,0),MATCH(B81,'Data Collection'!$N$2:$Q$2,0))</f>
        <v>50</v>
      </c>
      <c r="I81" s="45">
        <f t="array" ref="I81">INDEX('Data Collection'!$R$2:$U$54,MATCH(A81,'Data Collection'!$A$2:$A$54,0),MATCH(B81,'Data Collection'!$R$2:$U$2,0))</f>
        <v>30</v>
      </c>
      <c r="J81" s="45">
        <f t="shared" si="3"/>
        <v>46.666666666666664</v>
      </c>
    </row>
    <row r="82" spans="1:10">
      <c r="A82" s="8">
        <f t="array" ref="A82">INDEX('Data Collection'!$A$3:$A$54, INT((ROW()-2)/4)+1)</f>
        <v>21</v>
      </c>
      <c r="B82" s="8" t="str">
        <f t="shared" si="0"/>
        <v>VS-VS</v>
      </c>
      <c r="C82" s="8" t="str">
        <f t="shared" si="1"/>
        <v>Visual</v>
      </c>
      <c r="D82" s="8" t="str">
        <f t="shared" si="2"/>
        <v>Spatial</v>
      </c>
      <c r="E82" s="8">
        <f t="array" ref="E82">INDEX('Data Collection'!$B$2:$E$54,MATCH(A82,'Data Collection'!$A$2:$A$54,0),MATCH(B82,'Data Collection'!$B$2:$E$2,0))</f>
        <v>47</v>
      </c>
      <c r="F82" s="44" t="str">
        <f t="array" aca="1" ref="F82" ca="1">IFERROR(_xludf.let(cell,INDEX('Data Collection'!$F$2:$I$54,MATCH(A82,'Data Collection'!$A$2:$A$54,0),MATCH(B82,'Data Collection'!$F$2:$I$2,0)),LEFT(cell, FIND("/", cell)-1) / MID(cell, FIND("/", cell)+1, LEN(cell))),"")</f>
        <v/>
      </c>
      <c r="G82" s="45">
        <f t="array" ref="G82">INDEX('Data Collection'!$J$2:$M$54,MATCH(A82,'Data Collection'!$A$2:$A$54,0),MATCH(B82,'Data Collection'!$J$2:$M$2,0))</f>
        <v>20</v>
      </c>
      <c r="H82" s="45">
        <f t="array" ref="H82">INDEX('Data Collection'!$N$2:$Q$54,MATCH(A82,'Data Collection'!$A$2:$A$54,0),MATCH(B82,'Data Collection'!$N$2:$Q$2,0))</f>
        <v>60</v>
      </c>
      <c r="I82" s="45">
        <f t="array" ref="I82">INDEX('Data Collection'!$R$2:$U$54,MATCH(A82,'Data Collection'!$A$2:$A$54,0),MATCH(B82,'Data Collection'!$R$2:$U$2,0))</f>
        <v>70</v>
      </c>
      <c r="J82" s="45">
        <f t="shared" si="3"/>
        <v>50</v>
      </c>
    </row>
    <row r="83" spans="1:10">
      <c r="A83" s="8">
        <f t="array" ref="A83">INDEX('Data Collection'!$A$3:$A$54, INT((ROW()-2)/4)+1)</f>
        <v>21</v>
      </c>
      <c r="B83" s="8" t="str">
        <f t="shared" si="0"/>
        <v>VS-VV</v>
      </c>
      <c r="C83" s="8" t="str">
        <f t="shared" si="1"/>
        <v>Visual</v>
      </c>
      <c r="D83" s="8" t="str">
        <f t="shared" si="2"/>
        <v>Verbal</v>
      </c>
      <c r="E83" s="8">
        <f t="array" ref="E83">INDEX('Data Collection'!$B$2:$E$54,MATCH(A83,'Data Collection'!$A$2:$A$54,0),MATCH(B83,'Data Collection'!$B$2:$E$2,0))</f>
        <v>54</v>
      </c>
      <c r="F83" s="44" t="str">
        <f t="array" aca="1" ref="F83" ca="1">IFERROR(_xludf.let(cell,INDEX('Data Collection'!$F$2:$I$54,MATCH(A83,'Data Collection'!$A$2:$A$54,0),MATCH(B83,'Data Collection'!$F$2:$I$2,0)),LEFT(cell, FIND("/", cell)-1) / MID(cell, FIND("/", cell)+1, LEN(cell))),"")</f>
        <v/>
      </c>
      <c r="G83" s="45">
        <f t="array" ref="G83">INDEX('Data Collection'!$J$2:$M$54,MATCH(A83,'Data Collection'!$A$2:$A$54,0),MATCH(B83,'Data Collection'!$J$2:$M$2,0))</f>
        <v>20</v>
      </c>
      <c r="H83" s="45">
        <f t="array" ref="H83">INDEX('Data Collection'!$N$2:$Q$54,MATCH(A83,'Data Collection'!$A$2:$A$54,0),MATCH(B83,'Data Collection'!$N$2:$Q$2,0))</f>
        <v>40</v>
      </c>
      <c r="I83" s="45">
        <f t="array" ref="I83">INDEX('Data Collection'!$R$2:$U$54,MATCH(A83,'Data Collection'!$A$2:$A$54,0),MATCH(B83,'Data Collection'!$R$2:$U$2,0))</f>
        <v>70</v>
      </c>
      <c r="J83" s="45">
        <f t="shared" si="3"/>
        <v>43.333333333333336</v>
      </c>
    </row>
    <row r="84" spans="1:10">
      <c r="A84" s="8">
        <f t="array" ref="A84">INDEX('Data Collection'!$A$3:$A$54, INT((ROW()-2)/4)+1)</f>
        <v>21</v>
      </c>
      <c r="B84" s="8" t="str">
        <f t="shared" si="0"/>
        <v>VS-AV</v>
      </c>
      <c r="C84" s="8" t="str">
        <f t="shared" si="1"/>
        <v>Auditory</v>
      </c>
      <c r="D84" s="8" t="str">
        <f t="shared" si="2"/>
        <v>Verbal</v>
      </c>
      <c r="E84" s="8">
        <f t="array" ref="E84">INDEX('Data Collection'!$B$2:$E$54,MATCH(A84,'Data Collection'!$A$2:$A$54,0),MATCH(B84,'Data Collection'!$B$2:$E$2,0))</f>
        <v>37</v>
      </c>
      <c r="F84" s="44" t="str">
        <f t="array" aca="1" ref="F84" ca="1">IFERROR(_xludf.let(cell,INDEX('Data Collection'!$F$2:$I$54,MATCH(A84,'Data Collection'!$A$2:$A$54,0),MATCH(B84,'Data Collection'!$F$2:$I$2,0)),LEFT(cell, FIND("/", cell)-1) / MID(cell, FIND("/", cell)+1, LEN(cell))),"")</f>
        <v/>
      </c>
      <c r="G84" s="45">
        <f t="array" ref="G84">INDEX('Data Collection'!$J$2:$M$54,MATCH(A84,'Data Collection'!$A$2:$A$54,0),MATCH(B84,'Data Collection'!$J$2:$M$2,0))</f>
        <v>10</v>
      </c>
      <c r="H84" s="45">
        <f t="array" ref="H84">INDEX('Data Collection'!$N$2:$Q$54,MATCH(A84,'Data Collection'!$A$2:$A$54,0),MATCH(B84,'Data Collection'!$N$2:$Q$2,0))</f>
        <v>80</v>
      </c>
      <c r="I84" s="45">
        <f t="array" ref="I84">INDEX('Data Collection'!$R$2:$U$54,MATCH(A84,'Data Collection'!$A$2:$A$54,0),MATCH(B84,'Data Collection'!$R$2:$U$2,0))</f>
        <v>40</v>
      </c>
      <c r="J84" s="45">
        <f t="shared" si="3"/>
        <v>43.333333333333336</v>
      </c>
    </row>
    <row r="85" spans="1:10">
      <c r="A85" s="8">
        <f t="array" ref="A85">INDEX('Data Collection'!$A$3:$A$54, INT((ROW()-2)/4)+1)</f>
        <v>21</v>
      </c>
      <c r="B85" s="8" t="str">
        <f t="shared" si="0"/>
        <v>VS-AS</v>
      </c>
      <c r="C85" s="8" t="str">
        <f t="shared" si="1"/>
        <v>Auditory</v>
      </c>
      <c r="D85" s="8" t="str">
        <f t="shared" si="2"/>
        <v>Spatial</v>
      </c>
      <c r="E85" s="8">
        <f t="array" ref="E85">INDEX('Data Collection'!$B$2:$E$54,MATCH(A85,'Data Collection'!$A$2:$A$54,0),MATCH(B85,'Data Collection'!$B$2:$E$2,0))</f>
        <v>44</v>
      </c>
      <c r="F85" s="44" t="str">
        <f t="array" aca="1" ref="F85" ca="1">IFERROR(_xludf.let(cell,INDEX('Data Collection'!$F$2:$I$54,MATCH(A85,'Data Collection'!$A$2:$A$54,0),MATCH(B85,'Data Collection'!$F$2:$I$2,0)),LEFT(cell, FIND("/", cell)-1) / MID(cell, FIND("/", cell)+1, LEN(cell))),"")</f>
        <v/>
      </c>
      <c r="G85" s="45">
        <f t="array" ref="G85">INDEX('Data Collection'!$J$2:$M$54,MATCH(A85,'Data Collection'!$A$2:$A$54,0),MATCH(B85,'Data Collection'!$J$2:$M$2,0))</f>
        <v>30</v>
      </c>
      <c r="H85" s="45">
        <f t="array" ref="H85">INDEX('Data Collection'!$N$2:$Q$54,MATCH(A85,'Data Collection'!$A$2:$A$54,0),MATCH(B85,'Data Collection'!$N$2:$Q$2,0))</f>
        <v>60</v>
      </c>
      <c r="I85" s="45">
        <f t="array" ref="I85">INDEX('Data Collection'!$R$2:$U$54,MATCH(A85,'Data Collection'!$A$2:$A$54,0),MATCH(B85,'Data Collection'!$R$2:$U$2,0))</f>
        <v>30</v>
      </c>
      <c r="J85" s="45">
        <f t="shared" si="3"/>
        <v>40</v>
      </c>
    </row>
    <row r="86" spans="1:10">
      <c r="A86" s="8">
        <f t="array" ref="A86">INDEX('Data Collection'!$A$3:$A$54, INT((ROW()-2)/4)+1)</f>
        <v>22</v>
      </c>
      <c r="B86" s="8" t="str">
        <f t="shared" si="0"/>
        <v>VS-VS</v>
      </c>
      <c r="C86" s="8" t="str">
        <f t="shared" si="1"/>
        <v>Visual</v>
      </c>
      <c r="D86" s="8" t="str">
        <f t="shared" si="2"/>
        <v>Spatial</v>
      </c>
      <c r="E86" s="8">
        <f t="array" ref="E86">INDEX('Data Collection'!$B$2:$E$54,MATCH(A86,'Data Collection'!$A$2:$A$54,0),MATCH(B86,'Data Collection'!$B$2:$E$2,0))</f>
        <v>75</v>
      </c>
      <c r="F86" s="44" t="str">
        <f t="array" aca="1" ref="F86" ca="1">IFERROR(_xludf.let(cell,INDEX('Data Collection'!$F$2:$I$54,MATCH(A86,'Data Collection'!$A$2:$A$54,0),MATCH(B86,'Data Collection'!$F$2:$I$2,0)),LEFT(cell, FIND("/", cell)-1) / MID(cell, FIND("/", cell)+1, LEN(cell))),"")</f>
        <v/>
      </c>
      <c r="G86" s="45">
        <f t="array" ref="G86">INDEX('Data Collection'!$J$2:$M$54,MATCH(A86,'Data Collection'!$A$2:$A$54,0),MATCH(B86,'Data Collection'!$J$2:$M$2,0))</f>
        <v>5</v>
      </c>
      <c r="H86" s="45">
        <f t="array" ref="H86">INDEX('Data Collection'!$N$2:$Q$54,MATCH(A86,'Data Collection'!$A$2:$A$54,0),MATCH(B86,'Data Collection'!$N$2:$Q$2,0))</f>
        <v>20</v>
      </c>
      <c r="I86" s="45">
        <f t="array" ref="I86">INDEX('Data Collection'!$R$2:$U$54,MATCH(A86,'Data Collection'!$A$2:$A$54,0),MATCH(B86,'Data Collection'!$R$2:$U$2,0))</f>
        <v>80</v>
      </c>
      <c r="J86" s="45">
        <f t="shared" si="3"/>
        <v>35</v>
      </c>
    </row>
    <row r="87" spans="1:10">
      <c r="A87" s="8">
        <f t="array" ref="A87">INDEX('Data Collection'!$A$3:$A$54, INT((ROW()-2)/4)+1)</f>
        <v>22</v>
      </c>
      <c r="B87" s="8" t="str">
        <f t="shared" si="0"/>
        <v>VS-VV</v>
      </c>
      <c r="C87" s="8" t="str">
        <f t="shared" si="1"/>
        <v>Visual</v>
      </c>
      <c r="D87" s="8" t="str">
        <f t="shared" si="2"/>
        <v>Verbal</v>
      </c>
      <c r="E87" s="8">
        <f t="array" ref="E87">INDEX('Data Collection'!$B$2:$E$54,MATCH(A87,'Data Collection'!$A$2:$A$54,0),MATCH(B87,'Data Collection'!$B$2:$E$2,0))</f>
        <v>60</v>
      </c>
      <c r="F87" s="44" t="str">
        <f t="array" aca="1" ref="F87" ca="1">IFERROR(_xludf.let(cell,INDEX('Data Collection'!$F$2:$I$54,MATCH(A87,'Data Collection'!$A$2:$A$54,0),MATCH(B87,'Data Collection'!$F$2:$I$2,0)),LEFT(cell, FIND("/", cell)-1) / MID(cell, FIND("/", cell)+1, LEN(cell))),"")</f>
        <v/>
      </c>
      <c r="G87" s="45">
        <f t="array" ref="G87">INDEX('Data Collection'!$J$2:$M$54,MATCH(A87,'Data Collection'!$A$2:$A$54,0),MATCH(B87,'Data Collection'!$J$2:$M$2,0))</f>
        <v>15</v>
      </c>
      <c r="H87" s="45">
        <f t="array" ref="H87">INDEX('Data Collection'!$N$2:$Q$54,MATCH(A87,'Data Collection'!$A$2:$A$54,0),MATCH(B87,'Data Collection'!$N$2:$Q$2,0))</f>
        <v>25</v>
      </c>
      <c r="I87" s="45">
        <f t="array" ref="I87">INDEX('Data Collection'!$R$2:$U$54,MATCH(A87,'Data Collection'!$A$2:$A$54,0),MATCH(B87,'Data Collection'!$R$2:$U$2,0))</f>
        <v>75</v>
      </c>
      <c r="J87" s="45">
        <f t="shared" si="3"/>
        <v>38.333333333333336</v>
      </c>
    </row>
    <row r="88" spans="1:10">
      <c r="A88" s="8">
        <f t="array" ref="A88">INDEX('Data Collection'!$A$3:$A$54, INT((ROW()-2)/4)+1)</f>
        <v>22</v>
      </c>
      <c r="B88" s="8" t="str">
        <f t="shared" si="0"/>
        <v>VS-AV</v>
      </c>
      <c r="C88" s="8" t="str">
        <f t="shared" si="1"/>
        <v>Auditory</v>
      </c>
      <c r="D88" s="8" t="str">
        <f t="shared" si="2"/>
        <v>Verbal</v>
      </c>
      <c r="E88" s="8">
        <f t="array" ref="E88">INDEX('Data Collection'!$B$2:$E$54,MATCH(A88,'Data Collection'!$A$2:$A$54,0),MATCH(B88,'Data Collection'!$B$2:$E$2,0))</f>
        <v>75</v>
      </c>
      <c r="F88" s="44" t="str">
        <f t="array" aca="1" ref="F88" ca="1">IFERROR(_xludf.let(cell,INDEX('Data Collection'!$F$2:$I$54,MATCH(A88,'Data Collection'!$A$2:$A$54,0),MATCH(B88,'Data Collection'!$F$2:$I$2,0)),LEFT(cell, FIND("/", cell)-1) / MID(cell, FIND("/", cell)+1, LEN(cell))),"")</f>
        <v/>
      </c>
      <c r="G88" s="45">
        <f t="array" ref="G88">INDEX('Data Collection'!$J$2:$M$54,MATCH(A88,'Data Collection'!$A$2:$A$54,0),MATCH(B88,'Data Collection'!$J$2:$M$2,0))</f>
        <v>50</v>
      </c>
      <c r="H88" s="45">
        <f t="array" ref="H88">INDEX('Data Collection'!$N$2:$Q$54,MATCH(A88,'Data Collection'!$A$2:$A$54,0),MATCH(B88,'Data Collection'!$N$2:$Q$2,0))</f>
        <v>40</v>
      </c>
      <c r="I88" s="45">
        <f t="array" ref="I88">INDEX('Data Collection'!$R$2:$U$54,MATCH(A88,'Data Collection'!$A$2:$A$54,0),MATCH(B88,'Data Collection'!$R$2:$U$2,0))</f>
        <v>70</v>
      </c>
      <c r="J88" s="45">
        <f t="shared" si="3"/>
        <v>53.333333333333336</v>
      </c>
    </row>
    <row r="89" spans="1:10">
      <c r="A89" s="8">
        <f t="array" ref="A89">INDEX('Data Collection'!$A$3:$A$54, INT((ROW()-2)/4)+1)</f>
        <v>22</v>
      </c>
      <c r="B89" s="8" t="str">
        <f t="shared" si="0"/>
        <v>VS-AS</v>
      </c>
      <c r="C89" s="8" t="str">
        <f t="shared" si="1"/>
        <v>Auditory</v>
      </c>
      <c r="D89" s="8" t="str">
        <f t="shared" si="2"/>
        <v>Spatial</v>
      </c>
      <c r="E89" s="8">
        <f t="array" ref="E89">INDEX('Data Collection'!$B$2:$E$54,MATCH(A89,'Data Collection'!$A$2:$A$54,0),MATCH(B89,'Data Collection'!$B$2:$E$2,0))</f>
        <v>67</v>
      </c>
      <c r="F89" s="44" t="str">
        <f t="array" aca="1" ref="F89" ca="1">IFERROR(_xludf.let(cell,INDEX('Data Collection'!$F$2:$I$54,MATCH(A89,'Data Collection'!$A$2:$A$54,0),MATCH(B89,'Data Collection'!$F$2:$I$2,0)),LEFT(cell, FIND("/", cell)-1) / MID(cell, FIND("/", cell)+1, LEN(cell))),"")</f>
        <v/>
      </c>
      <c r="G89" s="45">
        <f t="array" ref="G89">INDEX('Data Collection'!$J$2:$M$54,MATCH(A89,'Data Collection'!$A$2:$A$54,0),MATCH(B89,'Data Collection'!$J$2:$M$2,0))</f>
        <v>0</v>
      </c>
      <c r="H89" s="45">
        <f t="array" ref="H89">INDEX('Data Collection'!$N$2:$Q$54,MATCH(A89,'Data Collection'!$A$2:$A$54,0),MATCH(B89,'Data Collection'!$N$2:$Q$2,0))</f>
        <v>20</v>
      </c>
      <c r="I89" s="45">
        <f t="array" ref="I89">INDEX('Data Collection'!$R$2:$U$54,MATCH(A89,'Data Collection'!$A$2:$A$54,0),MATCH(B89,'Data Collection'!$R$2:$U$2,0))</f>
        <v>75</v>
      </c>
      <c r="J89" s="45">
        <f t="shared" si="3"/>
        <v>31.666666666666668</v>
      </c>
    </row>
    <row r="90" spans="1:10">
      <c r="A90" s="8">
        <f t="array" ref="A90">INDEX('Data Collection'!$A$3:$A$54, INT((ROW()-2)/4)+1)</f>
        <v>23</v>
      </c>
      <c r="B90" s="8" t="str">
        <f t="shared" si="0"/>
        <v>VS-VS</v>
      </c>
      <c r="C90" s="8" t="str">
        <f t="shared" si="1"/>
        <v>Visual</v>
      </c>
      <c r="D90" s="8" t="str">
        <f t="shared" si="2"/>
        <v>Spatial</v>
      </c>
      <c r="E90" s="8">
        <f t="array" ref="E90">INDEX('Data Collection'!$B$2:$E$54,MATCH(A90,'Data Collection'!$A$2:$A$54,0),MATCH(B90,'Data Collection'!$B$2:$E$2,0))</f>
        <v>50</v>
      </c>
      <c r="F90" s="44" t="str">
        <f t="array" aca="1" ref="F90" ca="1">IFERROR(_xludf.let(cell,INDEX('Data Collection'!$F$2:$I$54,MATCH(A90,'Data Collection'!$A$2:$A$54,0),MATCH(B90,'Data Collection'!$F$2:$I$2,0)),LEFT(cell, FIND("/", cell)-1) / MID(cell, FIND("/", cell)+1, LEN(cell))),"")</f>
        <v/>
      </c>
      <c r="G90" s="45">
        <f t="array" ref="G90">INDEX('Data Collection'!$J$2:$M$54,MATCH(A90,'Data Collection'!$A$2:$A$54,0),MATCH(B90,'Data Collection'!$J$2:$M$2,0))</f>
        <v>40</v>
      </c>
      <c r="H90" s="45">
        <f t="array" ref="H90">INDEX('Data Collection'!$N$2:$Q$54,MATCH(A90,'Data Collection'!$A$2:$A$54,0),MATCH(B90,'Data Collection'!$N$2:$Q$2,0))</f>
        <v>40</v>
      </c>
      <c r="I90" s="45">
        <f t="array" ref="I90">INDEX('Data Collection'!$R$2:$U$54,MATCH(A90,'Data Collection'!$A$2:$A$54,0),MATCH(B90,'Data Collection'!$R$2:$U$2,0))</f>
        <v>40</v>
      </c>
      <c r="J90" s="45">
        <f t="shared" si="3"/>
        <v>40</v>
      </c>
    </row>
    <row r="91" spans="1:10">
      <c r="A91" s="8">
        <f t="array" ref="A91">INDEX('Data Collection'!$A$3:$A$54, INT((ROW()-2)/4)+1)</f>
        <v>23</v>
      </c>
      <c r="B91" s="8" t="str">
        <f t="shared" si="0"/>
        <v>VS-VV</v>
      </c>
      <c r="C91" s="8" t="str">
        <f t="shared" si="1"/>
        <v>Visual</v>
      </c>
      <c r="D91" s="8" t="str">
        <f t="shared" si="2"/>
        <v>Verbal</v>
      </c>
      <c r="E91" s="8">
        <f t="array" ref="E91">INDEX('Data Collection'!$B$2:$E$54,MATCH(A91,'Data Collection'!$A$2:$A$54,0),MATCH(B91,'Data Collection'!$B$2:$E$2,0))</f>
        <v>36</v>
      </c>
      <c r="F91" s="44" t="str">
        <f t="array" aca="1" ref="F91" ca="1">IFERROR(_xludf.let(cell,INDEX('Data Collection'!$F$2:$I$54,MATCH(A91,'Data Collection'!$A$2:$A$54,0),MATCH(B91,'Data Collection'!$F$2:$I$2,0)),LEFT(cell, FIND("/", cell)-1) / MID(cell, FIND("/", cell)+1, LEN(cell))),"")</f>
        <v/>
      </c>
      <c r="G91" s="45">
        <f t="array" ref="G91">INDEX('Data Collection'!$J$2:$M$54,MATCH(A91,'Data Collection'!$A$2:$A$54,0),MATCH(B91,'Data Collection'!$J$2:$M$2,0))</f>
        <v>35</v>
      </c>
      <c r="H91" s="45">
        <f t="array" ref="H91">INDEX('Data Collection'!$N$2:$Q$54,MATCH(A91,'Data Collection'!$A$2:$A$54,0),MATCH(B91,'Data Collection'!$N$2:$Q$2,0))</f>
        <v>70</v>
      </c>
      <c r="I91" s="45">
        <f t="array" ref="I91">INDEX('Data Collection'!$R$2:$U$54,MATCH(A91,'Data Collection'!$A$2:$A$54,0),MATCH(B91,'Data Collection'!$R$2:$U$2,0))</f>
        <v>35</v>
      </c>
      <c r="J91" s="45">
        <f t="shared" si="3"/>
        <v>46.666666666666664</v>
      </c>
    </row>
    <row r="92" spans="1:10">
      <c r="A92" s="8">
        <f t="array" ref="A92">INDEX('Data Collection'!$A$3:$A$54, INT((ROW()-2)/4)+1)</f>
        <v>23</v>
      </c>
      <c r="B92" s="8" t="str">
        <f t="shared" si="0"/>
        <v>VS-AV</v>
      </c>
      <c r="C92" s="8" t="str">
        <f t="shared" si="1"/>
        <v>Auditory</v>
      </c>
      <c r="D92" s="8" t="str">
        <f t="shared" si="2"/>
        <v>Verbal</v>
      </c>
      <c r="E92" s="8">
        <f t="array" ref="E92">INDEX('Data Collection'!$B$2:$E$54,MATCH(A92,'Data Collection'!$A$2:$A$54,0),MATCH(B92,'Data Collection'!$B$2:$E$2,0))</f>
        <v>37</v>
      </c>
      <c r="F92" s="44" t="str">
        <f t="array" aca="1" ref="F92" ca="1">IFERROR(_xludf.let(cell,INDEX('Data Collection'!$F$2:$I$54,MATCH(A92,'Data Collection'!$A$2:$A$54,0),MATCH(B92,'Data Collection'!$F$2:$I$2,0)),LEFT(cell, FIND("/", cell)-1) / MID(cell, FIND("/", cell)+1, LEN(cell))),"")</f>
        <v/>
      </c>
      <c r="G92" s="45">
        <f t="array" ref="G92">INDEX('Data Collection'!$J$2:$M$54,MATCH(A92,'Data Collection'!$A$2:$A$54,0),MATCH(B92,'Data Collection'!$J$2:$M$2,0))</f>
        <v>5</v>
      </c>
      <c r="H92" s="45">
        <f t="array" ref="H92">INDEX('Data Collection'!$N$2:$Q$54,MATCH(A92,'Data Collection'!$A$2:$A$54,0),MATCH(B92,'Data Collection'!$N$2:$Q$2,0))</f>
        <v>30</v>
      </c>
      <c r="I92" s="45">
        <f t="array" ref="I92">INDEX('Data Collection'!$R$2:$U$54,MATCH(A92,'Data Collection'!$A$2:$A$54,0),MATCH(B92,'Data Collection'!$R$2:$U$2,0))</f>
        <v>20</v>
      </c>
      <c r="J92" s="45">
        <f t="shared" si="3"/>
        <v>18.333333333333332</v>
      </c>
    </row>
    <row r="93" spans="1:10">
      <c r="A93" s="8">
        <f t="array" ref="A93">INDEX('Data Collection'!$A$3:$A$54, INT((ROW()-2)/4)+1)</f>
        <v>23</v>
      </c>
      <c r="B93" s="8" t="str">
        <f t="shared" si="0"/>
        <v>VS-AS</v>
      </c>
      <c r="C93" s="8" t="str">
        <f t="shared" si="1"/>
        <v>Auditory</v>
      </c>
      <c r="D93" s="8" t="str">
        <f t="shared" si="2"/>
        <v>Spatial</v>
      </c>
      <c r="E93" s="8">
        <f t="array" ref="E93">INDEX('Data Collection'!$B$2:$E$54,MATCH(A93,'Data Collection'!$A$2:$A$54,0),MATCH(B93,'Data Collection'!$B$2:$E$2,0))</f>
        <v>33</v>
      </c>
      <c r="F93" s="44" t="str">
        <f t="array" aca="1" ref="F93" ca="1">IFERROR(_xludf.let(cell,INDEX('Data Collection'!$F$2:$I$54,MATCH(A93,'Data Collection'!$A$2:$A$54,0),MATCH(B93,'Data Collection'!$F$2:$I$2,0)),LEFT(cell, FIND("/", cell)-1) / MID(cell, FIND("/", cell)+1, LEN(cell))),"")</f>
        <v/>
      </c>
      <c r="G93" s="45">
        <f t="array" ref="G93">INDEX('Data Collection'!$J$2:$M$54,MATCH(A93,'Data Collection'!$A$2:$A$54,0),MATCH(B93,'Data Collection'!$J$2:$M$2,0))</f>
        <v>0</v>
      </c>
      <c r="H93" s="45">
        <f t="array" ref="H93">INDEX('Data Collection'!$N$2:$Q$54,MATCH(A93,'Data Collection'!$A$2:$A$54,0),MATCH(B93,'Data Collection'!$N$2:$Q$2,0))</f>
        <v>5</v>
      </c>
      <c r="I93" s="45">
        <f t="array" ref="I93">INDEX('Data Collection'!$R$2:$U$54,MATCH(A93,'Data Collection'!$A$2:$A$54,0),MATCH(B93,'Data Collection'!$R$2:$U$2,0))</f>
        <v>15</v>
      </c>
      <c r="J93" s="45">
        <f t="shared" si="3"/>
        <v>6.666666666666667</v>
      </c>
    </row>
    <row r="94" spans="1:10">
      <c r="A94" s="8">
        <f t="array" ref="A94">INDEX('Data Collection'!$A$3:$A$54, INT((ROW()-2)/4)+1)</f>
        <v>24</v>
      </c>
      <c r="B94" s="8" t="str">
        <f t="shared" si="0"/>
        <v>VS-VS</v>
      </c>
      <c r="C94" s="8" t="str">
        <f t="shared" si="1"/>
        <v>Visual</v>
      </c>
      <c r="D94" s="8" t="str">
        <f t="shared" si="2"/>
        <v>Spatial</v>
      </c>
      <c r="E94" s="8">
        <f t="array" ref="E94">INDEX('Data Collection'!$B$2:$E$54,MATCH(A94,'Data Collection'!$A$2:$A$54,0),MATCH(B94,'Data Collection'!$B$2:$E$2,0))</f>
        <v>76</v>
      </c>
      <c r="F94" s="44" t="str">
        <f t="array" aca="1" ref="F94" ca="1">IFERROR(_xludf.let(cell,INDEX('Data Collection'!$F$2:$I$54,MATCH(A94,'Data Collection'!$A$2:$A$54,0),MATCH(B94,'Data Collection'!$F$2:$I$2,0)),LEFT(cell, FIND("/", cell)-1) / MID(cell, FIND("/", cell)+1, LEN(cell))),"")</f>
        <v/>
      </c>
      <c r="G94" s="45">
        <f t="array" ref="G94">INDEX('Data Collection'!$J$2:$M$54,MATCH(A94,'Data Collection'!$A$2:$A$54,0),MATCH(B94,'Data Collection'!$J$2:$M$2,0))</f>
        <v>60</v>
      </c>
      <c r="H94" s="45">
        <f t="array" ref="H94">INDEX('Data Collection'!$N$2:$Q$54,MATCH(A94,'Data Collection'!$A$2:$A$54,0),MATCH(B94,'Data Collection'!$N$2:$Q$2,0))</f>
        <v>15</v>
      </c>
      <c r="I94" s="45">
        <f t="array" ref="I94">INDEX('Data Collection'!$R$2:$U$54,MATCH(A94,'Data Collection'!$A$2:$A$54,0),MATCH(B94,'Data Collection'!$R$2:$U$2,0))</f>
        <v>60</v>
      </c>
      <c r="J94" s="45">
        <f t="shared" si="3"/>
        <v>45</v>
      </c>
    </row>
    <row r="95" spans="1:10">
      <c r="A95" s="8">
        <f t="array" ref="A95">INDEX('Data Collection'!$A$3:$A$54, INT((ROW()-2)/4)+1)</f>
        <v>24</v>
      </c>
      <c r="B95" s="8" t="str">
        <f t="shared" si="0"/>
        <v>VS-VV</v>
      </c>
      <c r="C95" s="8" t="str">
        <f t="shared" si="1"/>
        <v>Visual</v>
      </c>
      <c r="D95" s="8" t="str">
        <f t="shared" si="2"/>
        <v>Verbal</v>
      </c>
      <c r="E95" s="8">
        <f t="array" ref="E95">INDEX('Data Collection'!$B$2:$E$54,MATCH(A95,'Data Collection'!$A$2:$A$54,0),MATCH(B95,'Data Collection'!$B$2:$E$2,0))</f>
        <v>79</v>
      </c>
      <c r="F95" s="44" t="str">
        <f t="array" aca="1" ref="F95" ca="1">IFERROR(_xludf.let(cell,INDEX('Data Collection'!$F$2:$I$54,MATCH(A95,'Data Collection'!$A$2:$A$54,0),MATCH(B95,'Data Collection'!$F$2:$I$2,0)),LEFT(cell, FIND("/", cell)-1) / MID(cell, FIND("/", cell)+1, LEN(cell))),"")</f>
        <v/>
      </c>
      <c r="G95" s="45">
        <f t="array" ref="G95">INDEX('Data Collection'!$J$2:$M$54,MATCH(A95,'Data Collection'!$A$2:$A$54,0),MATCH(B95,'Data Collection'!$J$2:$M$2,0))</f>
        <v>40</v>
      </c>
      <c r="H95" s="45">
        <f t="array" ref="H95">INDEX('Data Collection'!$N$2:$Q$54,MATCH(A95,'Data Collection'!$A$2:$A$54,0),MATCH(B95,'Data Collection'!$N$2:$Q$2,0))</f>
        <v>15</v>
      </c>
      <c r="I95" s="45">
        <f t="array" ref="I95">INDEX('Data Collection'!$R$2:$U$54,MATCH(A95,'Data Collection'!$A$2:$A$54,0),MATCH(B95,'Data Collection'!$R$2:$U$2,0))</f>
        <v>50</v>
      </c>
      <c r="J95" s="45">
        <f t="shared" si="3"/>
        <v>35</v>
      </c>
    </row>
    <row r="96" spans="1:10">
      <c r="A96" s="8">
        <f t="array" ref="A96">INDEX('Data Collection'!$A$3:$A$54, INT((ROW()-2)/4)+1)</f>
        <v>24</v>
      </c>
      <c r="B96" s="8" t="str">
        <f t="shared" si="0"/>
        <v>VS-AV</v>
      </c>
      <c r="C96" s="8" t="str">
        <f t="shared" si="1"/>
        <v>Auditory</v>
      </c>
      <c r="D96" s="8" t="str">
        <f t="shared" si="2"/>
        <v>Verbal</v>
      </c>
      <c r="E96" s="8">
        <f t="array" ref="E96">INDEX('Data Collection'!$B$2:$E$54,MATCH(A96,'Data Collection'!$A$2:$A$54,0),MATCH(B96,'Data Collection'!$B$2:$E$2,0))</f>
        <v>57</v>
      </c>
      <c r="F96" s="44" t="str">
        <f t="array" aca="1" ref="F96" ca="1">IFERROR(_xludf.let(cell,INDEX('Data Collection'!$F$2:$I$54,MATCH(A96,'Data Collection'!$A$2:$A$54,0),MATCH(B96,'Data Collection'!$F$2:$I$2,0)),LEFT(cell, FIND("/", cell)-1) / MID(cell, FIND("/", cell)+1, LEN(cell))),"")</f>
        <v/>
      </c>
      <c r="G96" s="45">
        <f t="array" ref="G96">INDEX('Data Collection'!$J$2:$M$54,MATCH(A96,'Data Collection'!$A$2:$A$54,0),MATCH(B96,'Data Collection'!$J$2:$M$2,0))</f>
        <v>50</v>
      </c>
      <c r="H96" s="45">
        <f t="array" ref="H96">INDEX('Data Collection'!$N$2:$Q$54,MATCH(A96,'Data Collection'!$A$2:$A$54,0),MATCH(B96,'Data Collection'!$N$2:$Q$2,0))</f>
        <v>25</v>
      </c>
      <c r="I96" s="45">
        <f t="array" ref="I96">INDEX('Data Collection'!$R$2:$U$54,MATCH(A96,'Data Collection'!$A$2:$A$54,0),MATCH(B96,'Data Collection'!$R$2:$U$2,0))</f>
        <v>75</v>
      </c>
      <c r="J96" s="45">
        <f t="shared" si="3"/>
        <v>50</v>
      </c>
    </row>
    <row r="97" spans="1:10">
      <c r="A97" s="8">
        <f t="array" ref="A97">INDEX('Data Collection'!$A$3:$A$54, INT((ROW()-2)/4)+1)</f>
        <v>24</v>
      </c>
      <c r="B97" s="8" t="str">
        <f t="shared" si="0"/>
        <v>VS-AS</v>
      </c>
      <c r="C97" s="8" t="str">
        <f t="shared" si="1"/>
        <v>Auditory</v>
      </c>
      <c r="D97" s="8" t="str">
        <f t="shared" si="2"/>
        <v>Spatial</v>
      </c>
      <c r="E97" s="8">
        <f t="array" ref="E97">INDEX('Data Collection'!$B$2:$E$54,MATCH(A97,'Data Collection'!$A$2:$A$54,0),MATCH(B97,'Data Collection'!$B$2:$E$2,0))</f>
        <v>55</v>
      </c>
      <c r="F97" s="44" t="str">
        <f t="array" aca="1" ref="F97" ca="1">IFERROR(_xludf.let(cell,INDEX('Data Collection'!$F$2:$I$54,MATCH(A97,'Data Collection'!$A$2:$A$54,0),MATCH(B97,'Data Collection'!$F$2:$I$2,0)),LEFT(cell, FIND("/", cell)-1) / MID(cell, FIND("/", cell)+1, LEN(cell))),"")</f>
        <v/>
      </c>
      <c r="G97" s="45">
        <f t="array" ref="G97">INDEX('Data Collection'!$J$2:$M$54,MATCH(A97,'Data Collection'!$A$2:$A$54,0),MATCH(B97,'Data Collection'!$J$2:$M$2,0))</f>
        <v>30</v>
      </c>
      <c r="H97" s="45">
        <f t="array" ref="H97">INDEX('Data Collection'!$N$2:$Q$54,MATCH(A97,'Data Collection'!$A$2:$A$54,0),MATCH(B97,'Data Collection'!$N$2:$Q$2,0))</f>
        <v>10</v>
      </c>
      <c r="I97" s="45">
        <f t="array" ref="I97">INDEX('Data Collection'!$R$2:$U$54,MATCH(A97,'Data Collection'!$A$2:$A$54,0),MATCH(B97,'Data Collection'!$R$2:$U$2,0))</f>
        <v>40</v>
      </c>
      <c r="J97" s="45">
        <f t="shared" si="3"/>
        <v>26.666666666666668</v>
      </c>
    </row>
    <row r="98" spans="1:10">
      <c r="A98" s="8">
        <f t="array" ref="A98">INDEX('Data Collection'!$A$3:$A$54, INT((ROW()-2)/4)+1)</f>
        <v>25</v>
      </c>
      <c r="B98" s="8" t="str">
        <f t="shared" si="0"/>
        <v>VS-VS</v>
      </c>
      <c r="C98" s="8" t="str">
        <f t="shared" si="1"/>
        <v>Visual</v>
      </c>
      <c r="D98" s="8" t="str">
        <f t="shared" si="2"/>
        <v>Spatial</v>
      </c>
      <c r="E98" s="8">
        <f t="array" ref="E98">INDEX('Data Collection'!$B$2:$E$54,MATCH(A98,'Data Collection'!$A$2:$A$54,0),MATCH(B98,'Data Collection'!$B$2:$E$2,0))</f>
        <v>97</v>
      </c>
      <c r="F98" s="44" t="str">
        <f t="array" aca="1" ref="F98" ca="1">IFERROR(_xludf.let(cell,INDEX('Data Collection'!$F$2:$I$54,MATCH(A98,'Data Collection'!$A$2:$A$54,0),MATCH(B98,'Data Collection'!$F$2:$I$2,0)),LEFT(cell, FIND("/", cell)-1) / MID(cell, FIND("/", cell)+1, LEN(cell))),"")</f>
        <v/>
      </c>
      <c r="G98" s="45">
        <f t="array" ref="G98">INDEX('Data Collection'!$J$2:$M$54,MATCH(A98,'Data Collection'!$A$2:$A$54,0),MATCH(B98,'Data Collection'!$J$2:$M$2,0))</f>
        <v>60</v>
      </c>
      <c r="H98" s="45">
        <f t="array" ref="H98">INDEX('Data Collection'!$N$2:$Q$54,MATCH(A98,'Data Collection'!$A$2:$A$54,0),MATCH(B98,'Data Collection'!$N$2:$Q$2,0))</f>
        <v>25</v>
      </c>
      <c r="I98" s="45">
        <f t="array" ref="I98">INDEX('Data Collection'!$R$2:$U$54,MATCH(A98,'Data Collection'!$A$2:$A$54,0),MATCH(B98,'Data Collection'!$R$2:$U$2,0))</f>
        <v>65</v>
      </c>
      <c r="J98" s="45">
        <f t="shared" si="3"/>
        <v>50</v>
      </c>
    </row>
    <row r="99" spans="1:10">
      <c r="A99" s="8">
        <f t="array" ref="A99">INDEX('Data Collection'!$A$3:$A$54, INT((ROW()-2)/4)+1)</f>
        <v>25</v>
      </c>
      <c r="B99" s="8" t="str">
        <f t="shared" si="0"/>
        <v>VS-VV</v>
      </c>
      <c r="C99" s="8" t="str">
        <f t="shared" si="1"/>
        <v>Visual</v>
      </c>
      <c r="D99" s="8" t="str">
        <f t="shared" si="2"/>
        <v>Verbal</v>
      </c>
      <c r="E99" s="8">
        <f t="array" ref="E99">INDEX('Data Collection'!$B$2:$E$54,MATCH(A99,'Data Collection'!$A$2:$A$54,0),MATCH(B99,'Data Collection'!$B$2:$E$2,0))</f>
        <v>84</v>
      </c>
      <c r="F99" s="44" t="str">
        <f t="array" aca="1" ref="F99" ca="1">IFERROR(_xludf.let(cell,INDEX('Data Collection'!$F$2:$I$54,MATCH(A99,'Data Collection'!$A$2:$A$54,0),MATCH(B99,'Data Collection'!$F$2:$I$2,0)),LEFT(cell, FIND("/", cell)-1) / MID(cell, FIND("/", cell)+1, LEN(cell))),"")</f>
        <v/>
      </c>
      <c r="G99" s="45">
        <f t="array" ref="G99">INDEX('Data Collection'!$J$2:$M$54,MATCH(A99,'Data Collection'!$A$2:$A$54,0),MATCH(B99,'Data Collection'!$J$2:$M$2,0))</f>
        <v>45</v>
      </c>
      <c r="H99" s="45">
        <f t="array" ref="H99">INDEX('Data Collection'!$N$2:$Q$54,MATCH(A99,'Data Collection'!$A$2:$A$54,0),MATCH(B99,'Data Collection'!$N$2:$Q$2,0))</f>
        <v>30</v>
      </c>
      <c r="I99" s="45">
        <f t="array" ref="I99">INDEX('Data Collection'!$R$2:$U$54,MATCH(A99,'Data Collection'!$A$2:$A$54,0),MATCH(B99,'Data Collection'!$R$2:$U$2,0))</f>
        <v>70</v>
      </c>
      <c r="J99" s="45">
        <f t="shared" si="3"/>
        <v>48.333333333333336</v>
      </c>
    </row>
    <row r="100" spans="1:10">
      <c r="A100" s="8">
        <f t="array" ref="A100">INDEX('Data Collection'!$A$3:$A$54, INT((ROW()-2)/4)+1)</f>
        <v>25</v>
      </c>
      <c r="B100" s="8" t="str">
        <f t="shared" si="0"/>
        <v>VS-AV</v>
      </c>
      <c r="C100" s="8" t="str">
        <f t="shared" si="1"/>
        <v>Auditory</v>
      </c>
      <c r="D100" s="8" t="str">
        <f t="shared" si="2"/>
        <v>Verbal</v>
      </c>
      <c r="E100" s="8">
        <f t="array" ref="E100">INDEX('Data Collection'!$B$2:$E$54,MATCH(A100,'Data Collection'!$A$2:$A$54,0),MATCH(B100,'Data Collection'!$B$2:$E$2,0))</f>
        <v>94</v>
      </c>
      <c r="F100" s="44" t="str">
        <f t="array" aca="1" ref="F100" ca="1">IFERROR(_xludf.let(cell,INDEX('Data Collection'!$F$2:$I$54,MATCH(A100,'Data Collection'!$A$2:$A$54,0),MATCH(B100,'Data Collection'!$F$2:$I$2,0)),LEFT(cell, FIND("/", cell)-1) / MID(cell, FIND("/", cell)+1, LEN(cell))),"")</f>
        <v/>
      </c>
      <c r="G100" s="45">
        <f t="array" ref="G100">INDEX('Data Collection'!$J$2:$M$54,MATCH(A100,'Data Collection'!$A$2:$A$54,0),MATCH(B100,'Data Collection'!$J$2:$M$2,0))</f>
        <v>50</v>
      </c>
      <c r="H100" s="45">
        <f t="array" ref="H100">INDEX('Data Collection'!$N$2:$Q$54,MATCH(A100,'Data Collection'!$A$2:$A$54,0),MATCH(B100,'Data Collection'!$N$2:$Q$2,0))</f>
        <v>25</v>
      </c>
      <c r="I100" s="45">
        <f t="array" ref="I100">INDEX('Data Collection'!$R$2:$U$54,MATCH(A100,'Data Collection'!$A$2:$A$54,0),MATCH(B100,'Data Collection'!$R$2:$U$2,0))</f>
        <v>60</v>
      </c>
      <c r="J100" s="45">
        <f t="shared" si="3"/>
        <v>45</v>
      </c>
    </row>
    <row r="101" spans="1:10">
      <c r="A101" s="8">
        <f t="array" ref="A101">INDEX('Data Collection'!$A$3:$A$54, INT((ROW()-2)/4)+1)</f>
        <v>25</v>
      </c>
      <c r="B101" s="8" t="str">
        <f t="shared" si="0"/>
        <v>VS-AS</v>
      </c>
      <c r="C101" s="8" t="str">
        <f t="shared" si="1"/>
        <v>Auditory</v>
      </c>
      <c r="D101" s="8" t="str">
        <f t="shared" si="2"/>
        <v>Spatial</v>
      </c>
      <c r="E101" s="8">
        <f t="array" ref="E101">INDEX('Data Collection'!$B$2:$E$54,MATCH(A101,'Data Collection'!$A$2:$A$54,0),MATCH(B101,'Data Collection'!$B$2:$E$2,0))</f>
        <v>109</v>
      </c>
      <c r="F101" s="44" t="str">
        <f t="array" aca="1" ref="F101" ca="1">IFERROR(_xludf.let(cell,INDEX('Data Collection'!$F$2:$I$54,MATCH(A101,'Data Collection'!$A$2:$A$54,0),MATCH(B101,'Data Collection'!$F$2:$I$2,0)),LEFT(cell, FIND("/", cell)-1) / MID(cell, FIND("/", cell)+1, LEN(cell))),"")</f>
        <v/>
      </c>
      <c r="G101" s="45">
        <f t="array" ref="G101">INDEX('Data Collection'!$J$2:$M$54,MATCH(A101,'Data Collection'!$A$2:$A$54,0),MATCH(B101,'Data Collection'!$J$2:$M$2,0))</f>
        <v>50</v>
      </c>
      <c r="H101" s="45">
        <f t="array" ref="H101">INDEX('Data Collection'!$N$2:$Q$54,MATCH(A101,'Data Collection'!$A$2:$A$54,0),MATCH(B101,'Data Collection'!$N$2:$Q$2,0))</f>
        <v>35</v>
      </c>
      <c r="I101" s="45">
        <f t="array" ref="I101">INDEX('Data Collection'!$R$2:$U$54,MATCH(A101,'Data Collection'!$A$2:$A$54,0),MATCH(B101,'Data Collection'!$R$2:$U$2,0))</f>
        <v>70</v>
      </c>
      <c r="J101" s="45">
        <f t="shared" si="3"/>
        <v>51.666666666666664</v>
      </c>
    </row>
    <row r="102" spans="1:10">
      <c r="A102" s="8">
        <f t="array" ref="A102">INDEX('Data Collection'!$A$3:$A$54, INT((ROW()-2)/4)+1)</f>
        <v>26</v>
      </c>
      <c r="B102" s="8" t="str">
        <f t="shared" si="0"/>
        <v>VS-VS</v>
      </c>
      <c r="C102" s="8" t="str">
        <f t="shared" si="1"/>
        <v>Visual</v>
      </c>
      <c r="D102" s="8" t="str">
        <f t="shared" si="2"/>
        <v>Spatial</v>
      </c>
      <c r="E102" s="8">
        <f t="array" ref="E102">INDEX('Data Collection'!$B$2:$E$54,MATCH(A102,'Data Collection'!$A$2:$A$54,0),MATCH(B102,'Data Collection'!$B$2:$E$2,0))</f>
        <v>85</v>
      </c>
      <c r="F102" s="44" t="str">
        <f t="array" aca="1" ref="F102" ca="1">IFERROR(_xludf.let(cell,INDEX('Data Collection'!$F$2:$I$54,MATCH(A102,'Data Collection'!$A$2:$A$54,0),MATCH(B102,'Data Collection'!$F$2:$I$2,0)),LEFT(cell, FIND("/", cell)-1) / MID(cell, FIND("/", cell)+1, LEN(cell))),"")</f>
        <v/>
      </c>
      <c r="G102" s="45">
        <f t="array" ref="G102">INDEX('Data Collection'!$J$2:$M$54,MATCH(A102,'Data Collection'!$A$2:$A$54,0),MATCH(B102,'Data Collection'!$J$2:$M$2,0))</f>
        <v>65</v>
      </c>
      <c r="H102" s="45">
        <f t="array" ref="H102">INDEX('Data Collection'!$N$2:$Q$54,MATCH(A102,'Data Collection'!$A$2:$A$54,0),MATCH(B102,'Data Collection'!$N$2:$Q$2,0))</f>
        <v>30</v>
      </c>
      <c r="I102" s="45">
        <f t="array" ref="I102">INDEX('Data Collection'!$R$2:$U$54,MATCH(A102,'Data Collection'!$A$2:$A$54,0),MATCH(B102,'Data Collection'!$R$2:$U$2,0))</f>
        <v>65</v>
      </c>
      <c r="J102" s="45">
        <f t="shared" si="3"/>
        <v>53.333333333333336</v>
      </c>
    </row>
    <row r="103" spans="1:10">
      <c r="A103" s="8">
        <f t="array" ref="A103">INDEX('Data Collection'!$A$3:$A$54, INT((ROW()-2)/4)+1)</f>
        <v>26</v>
      </c>
      <c r="B103" s="8" t="str">
        <f t="shared" si="0"/>
        <v>VS-VV</v>
      </c>
      <c r="C103" s="8" t="str">
        <f t="shared" si="1"/>
        <v>Visual</v>
      </c>
      <c r="D103" s="8" t="str">
        <f t="shared" si="2"/>
        <v>Verbal</v>
      </c>
      <c r="E103" s="8">
        <f t="array" ref="E103">INDEX('Data Collection'!$B$2:$E$54,MATCH(A103,'Data Collection'!$A$2:$A$54,0),MATCH(B103,'Data Collection'!$B$2:$E$2,0))</f>
        <v>72</v>
      </c>
      <c r="F103" s="44" t="str">
        <f t="array" aca="1" ref="F103" ca="1">IFERROR(_xludf.let(cell,INDEX('Data Collection'!$F$2:$I$54,MATCH(A103,'Data Collection'!$A$2:$A$54,0),MATCH(B103,'Data Collection'!$F$2:$I$2,0)),LEFT(cell, FIND("/", cell)-1) / MID(cell, FIND("/", cell)+1, LEN(cell))),"")</f>
        <v/>
      </c>
      <c r="G103" s="45">
        <f t="array" ref="G103">INDEX('Data Collection'!$J$2:$M$54,MATCH(A103,'Data Collection'!$A$2:$A$54,0),MATCH(B103,'Data Collection'!$J$2:$M$2,0))</f>
        <v>50</v>
      </c>
      <c r="H103" s="45">
        <f t="array" ref="H103">INDEX('Data Collection'!$N$2:$Q$54,MATCH(A103,'Data Collection'!$A$2:$A$54,0),MATCH(B103,'Data Collection'!$N$2:$Q$2,0))</f>
        <v>15</v>
      </c>
      <c r="I103" s="45">
        <f t="array" ref="I103">INDEX('Data Collection'!$R$2:$U$54,MATCH(A103,'Data Collection'!$A$2:$A$54,0),MATCH(B103,'Data Collection'!$R$2:$U$2,0))</f>
        <v>55</v>
      </c>
      <c r="J103" s="45">
        <f t="shared" si="3"/>
        <v>40</v>
      </c>
    </row>
    <row r="104" spans="1:10">
      <c r="A104" s="8">
        <f t="array" ref="A104">INDEX('Data Collection'!$A$3:$A$54, INT((ROW()-2)/4)+1)</f>
        <v>26</v>
      </c>
      <c r="B104" s="8" t="str">
        <f t="shared" si="0"/>
        <v>VS-AV</v>
      </c>
      <c r="C104" s="8" t="str">
        <f t="shared" si="1"/>
        <v>Auditory</v>
      </c>
      <c r="D104" s="8" t="str">
        <f t="shared" si="2"/>
        <v>Verbal</v>
      </c>
      <c r="E104" s="8">
        <f t="array" ref="E104">INDEX('Data Collection'!$B$2:$E$54,MATCH(A104,'Data Collection'!$A$2:$A$54,0),MATCH(B104,'Data Collection'!$B$2:$E$2,0))</f>
        <v>91</v>
      </c>
      <c r="F104" s="44" t="str">
        <f t="array" aca="1" ref="F104" ca="1">IFERROR(_xludf.let(cell,INDEX('Data Collection'!$F$2:$I$54,MATCH(A104,'Data Collection'!$A$2:$A$54,0),MATCH(B104,'Data Collection'!$F$2:$I$2,0)),LEFT(cell, FIND("/", cell)-1) / MID(cell, FIND("/", cell)+1, LEN(cell))),"")</f>
        <v/>
      </c>
      <c r="G104" s="45">
        <f t="array" ref="G104">INDEX('Data Collection'!$J$2:$M$54,MATCH(A104,'Data Collection'!$A$2:$A$54,0),MATCH(B104,'Data Collection'!$J$2:$M$2,0))</f>
        <v>55</v>
      </c>
      <c r="H104" s="45">
        <f t="array" ref="H104">INDEX('Data Collection'!$N$2:$Q$54,MATCH(A104,'Data Collection'!$A$2:$A$54,0),MATCH(B104,'Data Collection'!$N$2:$Q$2,0))</f>
        <v>35</v>
      </c>
      <c r="I104" s="45">
        <f t="array" ref="I104">INDEX('Data Collection'!$R$2:$U$54,MATCH(A104,'Data Collection'!$A$2:$A$54,0),MATCH(B104,'Data Collection'!$R$2:$U$2,0))</f>
        <v>65</v>
      </c>
      <c r="J104" s="45">
        <f t="shared" si="3"/>
        <v>51.666666666666664</v>
      </c>
    </row>
    <row r="105" spans="1:10">
      <c r="A105" s="8">
        <f t="array" ref="A105">INDEX('Data Collection'!$A$3:$A$54, INT((ROW()-2)/4)+1)</f>
        <v>26</v>
      </c>
      <c r="B105" s="8" t="str">
        <f t="shared" si="0"/>
        <v>VS-AS</v>
      </c>
      <c r="C105" s="8" t="str">
        <f t="shared" si="1"/>
        <v>Auditory</v>
      </c>
      <c r="D105" s="8" t="str">
        <f t="shared" si="2"/>
        <v>Spatial</v>
      </c>
      <c r="E105" s="8">
        <f t="array" ref="E105">INDEX('Data Collection'!$B$2:$E$54,MATCH(A105,'Data Collection'!$A$2:$A$54,0),MATCH(B105,'Data Collection'!$B$2:$E$2,0))</f>
        <v>107</v>
      </c>
      <c r="F105" s="44" t="str">
        <f t="array" aca="1" ref="F105" ca="1">IFERROR(_xludf.let(cell,INDEX('Data Collection'!$F$2:$I$54,MATCH(A105,'Data Collection'!$A$2:$A$54,0),MATCH(B105,'Data Collection'!$F$2:$I$2,0)),LEFT(cell, FIND("/", cell)-1) / MID(cell, FIND("/", cell)+1, LEN(cell))),"")</f>
        <v/>
      </c>
      <c r="G105" s="45">
        <f t="array" ref="G105">INDEX('Data Collection'!$J$2:$M$54,MATCH(A105,'Data Collection'!$A$2:$A$54,0),MATCH(B105,'Data Collection'!$J$2:$M$2,0))</f>
        <v>50</v>
      </c>
      <c r="H105" s="45">
        <f t="array" ref="H105">INDEX('Data Collection'!$N$2:$Q$54,MATCH(A105,'Data Collection'!$A$2:$A$54,0),MATCH(B105,'Data Collection'!$N$2:$Q$2,0))</f>
        <v>40</v>
      </c>
      <c r="I105" s="45">
        <f t="array" ref="I105">INDEX('Data Collection'!$R$2:$U$54,MATCH(A105,'Data Collection'!$A$2:$A$54,0),MATCH(B105,'Data Collection'!$R$2:$U$2,0))</f>
        <v>60</v>
      </c>
      <c r="J105" s="45">
        <f t="shared" si="3"/>
        <v>50</v>
      </c>
    </row>
    <row r="106" spans="1:10">
      <c r="A106" s="8">
        <f t="array" ref="A106">INDEX('Data Collection'!$A$3:$A$54, INT((ROW()-2)/4)+1)</f>
        <v>27</v>
      </c>
      <c r="B106" s="8" t="str">
        <f t="shared" si="0"/>
        <v>VS-VS</v>
      </c>
      <c r="C106" s="8" t="str">
        <f t="shared" si="1"/>
        <v>Visual</v>
      </c>
      <c r="D106" s="8" t="str">
        <f t="shared" si="2"/>
        <v>Spatial</v>
      </c>
      <c r="E106" s="8">
        <f t="array" ref="E106">INDEX('Data Collection'!$B$2:$E$54,MATCH(A106,'Data Collection'!$A$2:$A$54,0),MATCH(B106,'Data Collection'!$B$2:$E$2,0))</f>
        <v>76</v>
      </c>
      <c r="F106" s="44" t="str">
        <f t="array" aca="1" ref="F106" ca="1">IFERROR(_xludf.let(cell,INDEX('Data Collection'!$F$2:$I$54,MATCH(A106,'Data Collection'!$A$2:$A$54,0),MATCH(B106,'Data Collection'!$F$2:$I$2,0)),LEFT(cell, FIND("/", cell)-1) / MID(cell, FIND("/", cell)+1, LEN(cell))),"")</f>
        <v/>
      </c>
      <c r="G106" s="45">
        <f t="array" ref="G106">INDEX('Data Collection'!$J$2:$M$54,MATCH(A106,'Data Collection'!$A$2:$A$54,0),MATCH(B106,'Data Collection'!$J$2:$M$2,0))</f>
        <v>30</v>
      </c>
      <c r="H106" s="45">
        <f t="array" ref="H106">INDEX('Data Collection'!$N$2:$Q$54,MATCH(A106,'Data Collection'!$A$2:$A$54,0),MATCH(B106,'Data Collection'!$N$2:$Q$2,0))</f>
        <v>20</v>
      </c>
      <c r="I106" s="45">
        <f t="array" ref="I106">INDEX('Data Collection'!$R$2:$U$54,MATCH(A106,'Data Collection'!$A$2:$A$54,0),MATCH(B106,'Data Collection'!$R$2:$U$2,0))</f>
        <v>55</v>
      </c>
      <c r="J106" s="45">
        <f t="shared" si="3"/>
        <v>35</v>
      </c>
    </row>
    <row r="107" spans="1:10">
      <c r="A107" s="8">
        <f t="array" ref="A107">INDEX('Data Collection'!$A$3:$A$54, INT((ROW()-2)/4)+1)</f>
        <v>27</v>
      </c>
      <c r="B107" s="8" t="str">
        <f t="shared" si="0"/>
        <v>VS-VV</v>
      </c>
      <c r="C107" s="8" t="str">
        <f t="shared" si="1"/>
        <v>Visual</v>
      </c>
      <c r="D107" s="8" t="str">
        <f t="shared" si="2"/>
        <v>Verbal</v>
      </c>
      <c r="E107" s="8">
        <f t="array" ref="E107">INDEX('Data Collection'!$B$2:$E$54,MATCH(A107,'Data Collection'!$A$2:$A$54,0),MATCH(B107,'Data Collection'!$B$2:$E$2,0))</f>
        <v>87</v>
      </c>
      <c r="F107" s="44" t="str">
        <f t="array" aca="1" ref="F107" ca="1">IFERROR(_xludf.let(cell,INDEX('Data Collection'!$F$2:$I$54,MATCH(A107,'Data Collection'!$A$2:$A$54,0),MATCH(B107,'Data Collection'!$F$2:$I$2,0)),LEFT(cell, FIND("/", cell)-1) / MID(cell, FIND("/", cell)+1, LEN(cell))),"")</f>
        <v/>
      </c>
      <c r="G107" s="45">
        <f t="array" ref="G107">INDEX('Data Collection'!$J$2:$M$54,MATCH(A107,'Data Collection'!$A$2:$A$54,0),MATCH(B107,'Data Collection'!$J$2:$M$2,0))</f>
        <v>35</v>
      </c>
      <c r="H107" s="45">
        <f t="array" ref="H107">INDEX('Data Collection'!$N$2:$Q$54,MATCH(A107,'Data Collection'!$A$2:$A$54,0),MATCH(B107,'Data Collection'!$N$2:$Q$2,0))</f>
        <v>30</v>
      </c>
      <c r="I107" s="45">
        <f t="array" ref="I107">INDEX('Data Collection'!$R$2:$U$54,MATCH(A107,'Data Collection'!$A$2:$A$54,0),MATCH(B107,'Data Collection'!$R$2:$U$2,0))</f>
        <v>60</v>
      </c>
      <c r="J107" s="45">
        <f t="shared" si="3"/>
        <v>41.666666666666664</v>
      </c>
    </row>
    <row r="108" spans="1:10">
      <c r="A108" s="8">
        <f t="array" ref="A108">INDEX('Data Collection'!$A$3:$A$54, INT((ROW()-2)/4)+1)</f>
        <v>27</v>
      </c>
      <c r="B108" s="8" t="str">
        <f t="shared" si="0"/>
        <v>VS-AV</v>
      </c>
      <c r="C108" s="8" t="str">
        <f t="shared" si="1"/>
        <v>Auditory</v>
      </c>
      <c r="D108" s="8" t="str">
        <f t="shared" si="2"/>
        <v>Verbal</v>
      </c>
      <c r="E108" s="8">
        <f t="array" ref="E108">INDEX('Data Collection'!$B$2:$E$54,MATCH(A108,'Data Collection'!$A$2:$A$54,0),MATCH(B108,'Data Collection'!$B$2:$E$2,0))</f>
        <v>73</v>
      </c>
      <c r="F108" s="44" t="str">
        <f t="array" aca="1" ref="F108" ca="1">IFERROR(_xludf.let(cell,INDEX('Data Collection'!$F$2:$I$54,MATCH(A108,'Data Collection'!$A$2:$A$54,0),MATCH(B108,'Data Collection'!$F$2:$I$2,0)),LEFT(cell, FIND("/", cell)-1) / MID(cell, FIND("/", cell)+1, LEN(cell))),"")</f>
        <v/>
      </c>
      <c r="G108" s="45">
        <f t="array" ref="G108">INDEX('Data Collection'!$J$2:$M$54,MATCH(A108,'Data Collection'!$A$2:$A$54,0),MATCH(B108,'Data Collection'!$J$2:$M$2,0))</f>
        <v>35</v>
      </c>
      <c r="H108" s="45">
        <f t="array" ref="H108">INDEX('Data Collection'!$N$2:$Q$54,MATCH(A108,'Data Collection'!$A$2:$A$54,0),MATCH(B108,'Data Collection'!$N$2:$Q$2,0))</f>
        <v>30</v>
      </c>
      <c r="I108" s="45">
        <f t="array" ref="I108">INDEX('Data Collection'!$R$2:$U$54,MATCH(A108,'Data Collection'!$A$2:$A$54,0),MATCH(B108,'Data Collection'!$R$2:$U$2,0))</f>
        <v>45</v>
      </c>
      <c r="J108" s="45">
        <f t="shared" si="3"/>
        <v>36.666666666666664</v>
      </c>
    </row>
    <row r="109" spans="1:10">
      <c r="A109" s="8">
        <f t="array" ref="A109">INDEX('Data Collection'!$A$3:$A$54, INT((ROW()-2)/4)+1)</f>
        <v>27</v>
      </c>
      <c r="B109" s="8" t="str">
        <f t="shared" si="0"/>
        <v>VS-AS</v>
      </c>
      <c r="C109" s="8" t="str">
        <f t="shared" si="1"/>
        <v>Auditory</v>
      </c>
      <c r="D109" s="8" t="str">
        <f t="shared" si="2"/>
        <v>Spatial</v>
      </c>
      <c r="E109" s="8">
        <f t="array" ref="E109">INDEX('Data Collection'!$B$2:$E$54,MATCH(A109,'Data Collection'!$A$2:$A$54,0),MATCH(B109,'Data Collection'!$B$2:$E$2,0))</f>
        <v>83</v>
      </c>
      <c r="F109" s="44" t="str">
        <f t="array" aca="1" ref="F109" ca="1">IFERROR(_xludf.let(cell,INDEX('Data Collection'!$F$2:$I$54,MATCH(A109,'Data Collection'!$A$2:$A$54,0),MATCH(B109,'Data Collection'!$F$2:$I$2,0)),LEFT(cell, FIND("/", cell)-1) / MID(cell, FIND("/", cell)+1, LEN(cell))),"")</f>
        <v/>
      </c>
      <c r="G109" s="45">
        <f t="array" ref="G109">INDEX('Data Collection'!$J$2:$M$54,MATCH(A109,'Data Collection'!$A$2:$A$54,0),MATCH(B109,'Data Collection'!$J$2:$M$2,0))</f>
        <v>25</v>
      </c>
      <c r="H109" s="45">
        <f t="array" ref="H109">INDEX('Data Collection'!$N$2:$Q$54,MATCH(A109,'Data Collection'!$A$2:$A$54,0),MATCH(B109,'Data Collection'!$N$2:$Q$2,0))</f>
        <v>15</v>
      </c>
      <c r="I109" s="45">
        <f t="array" ref="I109">INDEX('Data Collection'!$R$2:$U$54,MATCH(A109,'Data Collection'!$A$2:$A$54,0),MATCH(B109,'Data Collection'!$R$2:$U$2,0))</f>
        <v>50</v>
      </c>
      <c r="J109" s="45">
        <f t="shared" si="3"/>
        <v>30</v>
      </c>
    </row>
    <row r="110" spans="1:10">
      <c r="A110" s="8">
        <f t="array" ref="A110">INDEX('Data Collection'!$A$3:$A$54, INT((ROW()-2)/4)+1)</f>
        <v>28</v>
      </c>
      <c r="B110" s="8" t="str">
        <f t="shared" si="0"/>
        <v>VS-VS</v>
      </c>
      <c r="C110" s="8" t="str">
        <f t="shared" si="1"/>
        <v>Visual</v>
      </c>
      <c r="D110" s="8" t="str">
        <f t="shared" si="2"/>
        <v>Spatial</v>
      </c>
      <c r="E110" s="8">
        <f t="array" ref="E110">INDEX('Data Collection'!$B$2:$E$54,MATCH(A110,'Data Collection'!$A$2:$A$54,0),MATCH(B110,'Data Collection'!$B$2:$E$2,0))</f>
        <v>94</v>
      </c>
      <c r="F110" s="44" t="str">
        <f t="array" aca="1" ref="F110" ca="1">IFERROR(_xludf.let(cell,INDEX('Data Collection'!$F$2:$I$54,MATCH(A110,'Data Collection'!$A$2:$A$54,0),MATCH(B110,'Data Collection'!$F$2:$I$2,0)),LEFT(cell, FIND("/", cell)-1) / MID(cell, FIND("/", cell)+1, LEN(cell))),"")</f>
        <v/>
      </c>
      <c r="G110" s="45">
        <f t="array" ref="G110">INDEX('Data Collection'!$J$2:$M$54,MATCH(A110,'Data Collection'!$A$2:$A$54,0),MATCH(B110,'Data Collection'!$J$2:$M$2,0))</f>
        <v>60</v>
      </c>
      <c r="H110" s="45">
        <f t="array" ref="H110">INDEX('Data Collection'!$N$2:$Q$54,MATCH(A110,'Data Collection'!$A$2:$A$54,0),MATCH(B110,'Data Collection'!$N$2:$Q$2,0))</f>
        <v>35</v>
      </c>
      <c r="I110" s="45">
        <f t="array" ref="I110">INDEX('Data Collection'!$R$2:$U$54,MATCH(A110,'Data Collection'!$A$2:$A$54,0),MATCH(B110,'Data Collection'!$R$2:$U$2,0))</f>
        <v>60</v>
      </c>
      <c r="J110" s="45">
        <f t="shared" si="3"/>
        <v>51.666666666666664</v>
      </c>
    </row>
    <row r="111" spans="1:10">
      <c r="A111" s="8">
        <f t="array" ref="A111">INDEX('Data Collection'!$A$3:$A$54, INT((ROW()-2)/4)+1)</f>
        <v>28</v>
      </c>
      <c r="B111" s="8" t="str">
        <f t="shared" si="0"/>
        <v>VS-VV</v>
      </c>
      <c r="C111" s="8" t="str">
        <f t="shared" si="1"/>
        <v>Visual</v>
      </c>
      <c r="D111" s="8" t="str">
        <f t="shared" si="2"/>
        <v>Verbal</v>
      </c>
      <c r="E111" s="8">
        <f t="array" ref="E111">INDEX('Data Collection'!$B$2:$E$54,MATCH(A111,'Data Collection'!$A$2:$A$54,0),MATCH(B111,'Data Collection'!$B$2:$E$2,0))</f>
        <v>109</v>
      </c>
      <c r="F111" s="44" t="str">
        <f t="array" aca="1" ref="F111" ca="1">IFERROR(_xludf.let(cell,INDEX('Data Collection'!$F$2:$I$54,MATCH(A111,'Data Collection'!$A$2:$A$54,0),MATCH(B111,'Data Collection'!$F$2:$I$2,0)),LEFT(cell, FIND("/", cell)-1) / MID(cell, FIND("/", cell)+1, LEN(cell))),"")</f>
        <v/>
      </c>
      <c r="G111" s="45">
        <f t="array" ref="G111">INDEX('Data Collection'!$J$2:$M$54,MATCH(A111,'Data Collection'!$A$2:$A$54,0),MATCH(B111,'Data Collection'!$J$2:$M$2,0))</f>
        <v>60</v>
      </c>
      <c r="H111" s="45">
        <f t="array" ref="H111">INDEX('Data Collection'!$N$2:$Q$54,MATCH(A111,'Data Collection'!$A$2:$A$54,0),MATCH(B111,'Data Collection'!$N$2:$Q$2,0))</f>
        <v>45</v>
      </c>
      <c r="I111" s="45">
        <f t="array" ref="I111">INDEX('Data Collection'!$R$2:$U$54,MATCH(A111,'Data Collection'!$A$2:$A$54,0),MATCH(B111,'Data Collection'!$R$2:$U$2,0))</f>
        <v>65</v>
      </c>
      <c r="J111" s="45">
        <f t="shared" si="3"/>
        <v>56.666666666666664</v>
      </c>
    </row>
    <row r="112" spans="1:10">
      <c r="A112" s="8">
        <f t="array" ref="A112">INDEX('Data Collection'!$A$3:$A$54, INT((ROW()-2)/4)+1)</f>
        <v>28</v>
      </c>
      <c r="B112" s="8" t="str">
        <f t="shared" si="0"/>
        <v>VS-AV</v>
      </c>
      <c r="C112" s="8" t="str">
        <f t="shared" si="1"/>
        <v>Auditory</v>
      </c>
      <c r="D112" s="8" t="str">
        <f t="shared" si="2"/>
        <v>Verbal</v>
      </c>
      <c r="E112" s="8">
        <f t="array" ref="E112">INDEX('Data Collection'!$B$2:$E$54,MATCH(A112,'Data Collection'!$A$2:$A$54,0),MATCH(B112,'Data Collection'!$B$2:$E$2,0))</f>
        <v>86</v>
      </c>
      <c r="F112" s="44" t="str">
        <f t="array" aca="1" ref="F112" ca="1">IFERROR(_xludf.let(cell,INDEX('Data Collection'!$F$2:$I$54,MATCH(A112,'Data Collection'!$A$2:$A$54,0),MATCH(B112,'Data Collection'!$F$2:$I$2,0)),LEFT(cell, FIND("/", cell)-1) / MID(cell, FIND("/", cell)+1, LEN(cell))),"")</f>
        <v/>
      </c>
      <c r="G112" s="45">
        <f t="array" ref="G112">INDEX('Data Collection'!$J$2:$M$54,MATCH(A112,'Data Collection'!$A$2:$A$54,0),MATCH(B112,'Data Collection'!$J$2:$M$2,0))</f>
        <v>60</v>
      </c>
      <c r="H112" s="45">
        <f t="array" ref="H112">INDEX('Data Collection'!$N$2:$Q$54,MATCH(A112,'Data Collection'!$A$2:$A$54,0),MATCH(B112,'Data Collection'!$N$2:$Q$2,0))</f>
        <v>30</v>
      </c>
      <c r="I112" s="45">
        <f t="array" ref="I112">INDEX('Data Collection'!$R$2:$U$54,MATCH(A112,'Data Collection'!$A$2:$A$54,0),MATCH(B112,'Data Collection'!$R$2:$U$2,0))</f>
        <v>55</v>
      </c>
      <c r="J112" s="45">
        <f t="shared" si="3"/>
        <v>48.333333333333336</v>
      </c>
    </row>
    <row r="113" spans="1:10">
      <c r="A113" s="8">
        <f t="array" ref="A113">INDEX('Data Collection'!$A$3:$A$54, INT((ROW()-2)/4)+1)</f>
        <v>28</v>
      </c>
      <c r="B113" s="8" t="str">
        <f t="shared" si="0"/>
        <v>VS-AS</v>
      </c>
      <c r="C113" s="8" t="str">
        <f t="shared" si="1"/>
        <v>Auditory</v>
      </c>
      <c r="D113" s="8" t="str">
        <f t="shared" si="2"/>
        <v>Spatial</v>
      </c>
      <c r="E113" s="8">
        <f t="array" ref="E113">INDEX('Data Collection'!$B$2:$E$54,MATCH(A113,'Data Collection'!$A$2:$A$54,0),MATCH(B113,'Data Collection'!$B$2:$E$2,0))</f>
        <v>93</v>
      </c>
      <c r="F113" s="44" t="str">
        <f t="array" aca="1" ref="F113" ca="1">IFERROR(_xludf.let(cell,INDEX('Data Collection'!$F$2:$I$54,MATCH(A113,'Data Collection'!$A$2:$A$54,0),MATCH(B113,'Data Collection'!$F$2:$I$2,0)),LEFT(cell, FIND("/", cell)-1) / MID(cell, FIND("/", cell)+1, LEN(cell))),"")</f>
        <v/>
      </c>
      <c r="G113" s="45">
        <f t="array" ref="G113">INDEX('Data Collection'!$J$2:$M$54,MATCH(A113,'Data Collection'!$A$2:$A$54,0),MATCH(B113,'Data Collection'!$J$2:$M$2,0))</f>
        <v>60</v>
      </c>
      <c r="H113" s="45">
        <f t="array" ref="H113">INDEX('Data Collection'!$N$2:$Q$54,MATCH(A113,'Data Collection'!$A$2:$A$54,0),MATCH(B113,'Data Collection'!$N$2:$Q$2,0))</f>
        <v>30</v>
      </c>
      <c r="I113" s="45">
        <f t="array" ref="I113">INDEX('Data Collection'!$R$2:$U$54,MATCH(A113,'Data Collection'!$A$2:$A$54,0),MATCH(B113,'Data Collection'!$R$2:$U$2,0))</f>
        <v>55</v>
      </c>
      <c r="J113" s="45">
        <f t="shared" si="3"/>
        <v>48.333333333333336</v>
      </c>
    </row>
    <row r="114" spans="1:10">
      <c r="A114" s="8">
        <f t="array" ref="A114">INDEX('Data Collection'!$A$3:$A$54, INT((ROW()-2)/4)+1)</f>
        <v>29</v>
      </c>
      <c r="B114" s="8" t="str">
        <f t="shared" si="0"/>
        <v>VS-VS</v>
      </c>
      <c r="C114" s="8" t="str">
        <f t="shared" si="1"/>
        <v>Visual</v>
      </c>
      <c r="D114" s="8" t="str">
        <f t="shared" si="2"/>
        <v>Spatial</v>
      </c>
      <c r="E114" s="8">
        <f t="array" ref="E114">INDEX('Data Collection'!$B$2:$E$54,MATCH(A114,'Data Collection'!$A$2:$A$54,0),MATCH(B114,'Data Collection'!$B$2:$E$2,0))</f>
        <v>58</v>
      </c>
      <c r="F114" s="44" t="str">
        <f t="array" aca="1" ref="F114" ca="1">IFERROR(_xludf.let(cell,INDEX('Data Collection'!$F$2:$I$54,MATCH(A114,'Data Collection'!$A$2:$A$54,0),MATCH(B114,'Data Collection'!$F$2:$I$2,0)),LEFT(cell, FIND("/", cell)-1) / MID(cell, FIND("/", cell)+1, LEN(cell))),"")</f>
        <v/>
      </c>
      <c r="G114" s="45">
        <f t="array" ref="G114">INDEX('Data Collection'!$J$2:$M$54,MATCH(A114,'Data Collection'!$A$2:$A$54,0),MATCH(B114,'Data Collection'!$J$2:$M$2,0))</f>
        <v>45</v>
      </c>
      <c r="H114" s="45">
        <f t="array" ref="H114">INDEX('Data Collection'!$N$2:$Q$54,MATCH(A114,'Data Collection'!$A$2:$A$54,0),MATCH(B114,'Data Collection'!$N$2:$Q$2,0))</f>
        <v>45</v>
      </c>
      <c r="I114" s="45">
        <f t="array" ref="I114">INDEX('Data Collection'!$R$2:$U$54,MATCH(A114,'Data Collection'!$A$2:$A$54,0),MATCH(B114,'Data Collection'!$R$2:$U$2,0))</f>
        <v>60</v>
      </c>
      <c r="J114" s="45">
        <f t="shared" si="3"/>
        <v>50</v>
      </c>
    </row>
    <row r="115" spans="1:10">
      <c r="A115" s="8">
        <f t="array" ref="A115">INDEX('Data Collection'!$A$3:$A$54, INT((ROW()-2)/4)+1)</f>
        <v>29</v>
      </c>
      <c r="B115" s="8" t="str">
        <f t="shared" si="0"/>
        <v>VS-VV</v>
      </c>
      <c r="C115" s="8" t="str">
        <f t="shared" si="1"/>
        <v>Visual</v>
      </c>
      <c r="D115" s="8" t="str">
        <f t="shared" si="2"/>
        <v>Verbal</v>
      </c>
      <c r="E115" s="8">
        <f t="array" ref="E115">INDEX('Data Collection'!$B$2:$E$54,MATCH(A115,'Data Collection'!$A$2:$A$54,0),MATCH(B115,'Data Collection'!$B$2:$E$2,0))</f>
        <v>56</v>
      </c>
      <c r="F115" s="44" t="str">
        <f t="array" aca="1" ref="F115" ca="1">IFERROR(_xludf.let(cell,INDEX('Data Collection'!$F$2:$I$54,MATCH(A115,'Data Collection'!$A$2:$A$54,0),MATCH(B115,'Data Collection'!$F$2:$I$2,0)),LEFT(cell, FIND("/", cell)-1) / MID(cell, FIND("/", cell)+1, LEN(cell))),"")</f>
        <v/>
      </c>
      <c r="G115" s="45">
        <f t="array" ref="G115">INDEX('Data Collection'!$J$2:$M$54,MATCH(A115,'Data Collection'!$A$2:$A$54,0),MATCH(B115,'Data Collection'!$J$2:$M$2,0))</f>
        <v>50</v>
      </c>
      <c r="H115" s="45">
        <f t="array" ref="H115">INDEX('Data Collection'!$N$2:$Q$54,MATCH(A115,'Data Collection'!$A$2:$A$54,0),MATCH(B115,'Data Collection'!$N$2:$Q$2,0))</f>
        <v>40</v>
      </c>
      <c r="I115" s="45">
        <f t="array" ref="I115">INDEX('Data Collection'!$R$2:$U$54,MATCH(A115,'Data Collection'!$A$2:$A$54,0),MATCH(B115,'Data Collection'!$R$2:$U$2,0))</f>
        <v>60</v>
      </c>
      <c r="J115" s="45">
        <f t="shared" si="3"/>
        <v>50</v>
      </c>
    </row>
    <row r="116" spans="1:10">
      <c r="A116" s="8">
        <f t="array" ref="A116">INDEX('Data Collection'!$A$3:$A$54, INT((ROW()-2)/4)+1)</f>
        <v>29</v>
      </c>
      <c r="B116" s="8" t="str">
        <f t="shared" si="0"/>
        <v>VS-AV</v>
      </c>
      <c r="C116" s="8" t="str">
        <f t="shared" si="1"/>
        <v>Auditory</v>
      </c>
      <c r="D116" s="8" t="str">
        <f t="shared" si="2"/>
        <v>Verbal</v>
      </c>
      <c r="E116" s="8">
        <f t="array" ref="E116">INDEX('Data Collection'!$B$2:$E$54,MATCH(A116,'Data Collection'!$A$2:$A$54,0),MATCH(B116,'Data Collection'!$B$2:$E$2,0))</f>
        <v>52</v>
      </c>
      <c r="F116" s="44" t="str">
        <f t="array" aca="1" ref="F116" ca="1">IFERROR(_xludf.let(cell,INDEX('Data Collection'!$F$2:$I$54,MATCH(A116,'Data Collection'!$A$2:$A$54,0),MATCH(B116,'Data Collection'!$F$2:$I$2,0)),LEFT(cell, FIND("/", cell)-1) / MID(cell, FIND("/", cell)+1, LEN(cell))),"")</f>
        <v/>
      </c>
      <c r="G116" s="45">
        <f t="array" ref="G116">INDEX('Data Collection'!$J$2:$M$54,MATCH(A116,'Data Collection'!$A$2:$A$54,0),MATCH(B116,'Data Collection'!$J$2:$M$2,0))</f>
        <v>50</v>
      </c>
      <c r="H116" s="45">
        <f t="array" ref="H116">INDEX('Data Collection'!$N$2:$Q$54,MATCH(A116,'Data Collection'!$A$2:$A$54,0),MATCH(B116,'Data Collection'!$N$2:$Q$2,0))</f>
        <v>30</v>
      </c>
      <c r="I116" s="45">
        <f t="array" ref="I116">INDEX('Data Collection'!$R$2:$U$54,MATCH(A116,'Data Collection'!$A$2:$A$54,0),MATCH(B116,'Data Collection'!$R$2:$U$2,0))</f>
        <v>40</v>
      </c>
      <c r="J116" s="45">
        <f t="shared" si="3"/>
        <v>40</v>
      </c>
    </row>
    <row r="117" spans="1:10">
      <c r="A117" s="8">
        <f t="array" ref="A117">INDEX('Data Collection'!$A$3:$A$54, INT((ROW()-2)/4)+1)</f>
        <v>29</v>
      </c>
      <c r="B117" s="8" t="str">
        <f t="shared" si="0"/>
        <v>VS-AS</v>
      </c>
      <c r="C117" s="8" t="str">
        <f t="shared" si="1"/>
        <v>Auditory</v>
      </c>
      <c r="D117" s="8" t="str">
        <f t="shared" si="2"/>
        <v>Spatial</v>
      </c>
      <c r="E117" s="8">
        <f t="array" ref="E117">INDEX('Data Collection'!$B$2:$E$54,MATCH(A117,'Data Collection'!$A$2:$A$54,0),MATCH(B117,'Data Collection'!$B$2:$E$2,0))</f>
        <v>54</v>
      </c>
      <c r="F117" s="44" t="str">
        <f t="array" aca="1" ref="F117" ca="1">IFERROR(_xludf.let(cell,INDEX('Data Collection'!$F$2:$I$54,MATCH(A117,'Data Collection'!$A$2:$A$54,0),MATCH(B117,'Data Collection'!$F$2:$I$2,0)),LEFT(cell, FIND("/", cell)-1) / MID(cell, FIND("/", cell)+1, LEN(cell))),"")</f>
        <v/>
      </c>
      <c r="G117" s="45">
        <f t="array" ref="G117">INDEX('Data Collection'!$J$2:$M$54,MATCH(A117,'Data Collection'!$A$2:$A$54,0),MATCH(B117,'Data Collection'!$J$2:$M$2,0))</f>
        <v>20</v>
      </c>
      <c r="H117" s="45">
        <f t="array" ref="H117">INDEX('Data Collection'!$N$2:$Q$54,MATCH(A117,'Data Collection'!$A$2:$A$54,0),MATCH(B117,'Data Collection'!$N$2:$Q$2,0))</f>
        <v>30</v>
      </c>
      <c r="I117" s="45">
        <f t="array" ref="I117">INDEX('Data Collection'!$R$2:$U$54,MATCH(A117,'Data Collection'!$A$2:$A$54,0),MATCH(B117,'Data Collection'!$R$2:$U$2,0))</f>
        <v>25</v>
      </c>
      <c r="J117" s="45">
        <f t="shared" si="3"/>
        <v>25</v>
      </c>
    </row>
    <row r="118" spans="1:10">
      <c r="A118" s="8">
        <f t="array" ref="A118">INDEX('Data Collection'!$A$3:$A$54, INT((ROW()-2)/4)+1)</f>
        <v>30</v>
      </c>
      <c r="B118" s="8" t="str">
        <f t="shared" si="0"/>
        <v>VS-VS</v>
      </c>
      <c r="C118" s="8" t="str">
        <f t="shared" si="1"/>
        <v>Visual</v>
      </c>
      <c r="D118" s="8" t="str">
        <f t="shared" si="2"/>
        <v>Spatial</v>
      </c>
      <c r="E118" s="8">
        <f t="array" ref="E118">INDEX('Data Collection'!$B$2:$E$54,MATCH(A118,'Data Collection'!$A$2:$A$54,0),MATCH(B118,'Data Collection'!$B$2:$E$2,0))</f>
        <v>115</v>
      </c>
      <c r="F118" s="44" t="str">
        <f t="array" aca="1" ref="F118" ca="1">IFERROR(_xludf.let(cell,INDEX('Data Collection'!$F$2:$I$54,MATCH(A118,'Data Collection'!$A$2:$A$54,0),MATCH(B118,'Data Collection'!$F$2:$I$2,0)),LEFT(cell, FIND("/", cell)-1) / MID(cell, FIND("/", cell)+1, LEN(cell))),"")</f>
        <v/>
      </c>
      <c r="G118" s="45">
        <f t="array" ref="G118">INDEX('Data Collection'!$J$2:$M$54,MATCH(A118,'Data Collection'!$A$2:$A$54,0),MATCH(B118,'Data Collection'!$J$2:$M$2,0))</f>
        <v>60</v>
      </c>
      <c r="H118" s="45">
        <f t="array" ref="H118">INDEX('Data Collection'!$N$2:$Q$54,MATCH(A118,'Data Collection'!$A$2:$A$54,0),MATCH(B118,'Data Collection'!$N$2:$Q$2,0))</f>
        <v>60</v>
      </c>
      <c r="I118" s="45">
        <f t="array" ref="I118">INDEX('Data Collection'!$R$2:$U$54,MATCH(A118,'Data Collection'!$A$2:$A$54,0),MATCH(B118,'Data Collection'!$R$2:$U$2,0))</f>
        <v>70</v>
      </c>
      <c r="J118" s="45">
        <f t="shared" si="3"/>
        <v>63.333333333333336</v>
      </c>
    </row>
    <row r="119" spans="1:10">
      <c r="A119" s="8">
        <f t="array" ref="A119">INDEX('Data Collection'!$A$3:$A$54, INT((ROW()-2)/4)+1)</f>
        <v>30</v>
      </c>
      <c r="B119" s="8" t="str">
        <f t="shared" si="0"/>
        <v>VS-VV</v>
      </c>
      <c r="C119" s="8" t="str">
        <f t="shared" si="1"/>
        <v>Visual</v>
      </c>
      <c r="D119" s="8" t="str">
        <f t="shared" si="2"/>
        <v>Verbal</v>
      </c>
      <c r="E119" s="8">
        <f t="array" ref="E119">INDEX('Data Collection'!$B$2:$E$54,MATCH(A119,'Data Collection'!$A$2:$A$54,0),MATCH(B119,'Data Collection'!$B$2:$E$2,0))</f>
        <v>100</v>
      </c>
      <c r="F119" s="44" t="str">
        <f t="array" aca="1" ref="F119" ca="1">IFERROR(_xludf.let(cell,INDEX('Data Collection'!$F$2:$I$54,MATCH(A119,'Data Collection'!$A$2:$A$54,0),MATCH(B119,'Data Collection'!$F$2:$I$2,0)),LEFT(cell, FIND("/", cell)-1) / MID(cell, FIND("/", cell)+1, LEN(cell))),"")</f>
        <v/>
      </c>
      <c r="G119" s="45">
        <f t="array" ref="G119">INDEX('Data Collection'!$J$2:$M$54,MATCH(A119,'Data Collection'!$A$2:$A$54,0),MATCH(B119,'Data Collection'!$J$2:$M$2,0))</f>
        <v>65</v>
      </c>
      <c r="H119" s="45">
        <f t="array" ref="H119">INDEX('Data Collection'!$N$2:$Q$54,MATCH(A119,'Data Collection'!$A$2:$A$54,0),MATCH(B119,'Data Collection'!$N$2:$Q$2,0))</f>
        <v>40</v>
      </c>
      <c r="I119" s="45">
        <f t="array" ref="I119">INDEX('Data Collection'!$R$2:$U$54,MATCH(A119,'Data Collection'!$A$2:$A$54,0),MATCH(B119,'Data Collection'!$R$2:$U$2,0))</f>
        <v>65</v>
      </c>
      <c r="J119" s="45">
        <f t="shared" si="3"/>
        <v>56.666666666666664</v>
      </c>
    </row>
    <row r="120" spans="1:10">
      <c r="A120" s="8">
        <f t="array" ref="A120">INDEX('Data Collection'!$A$3:$A$54, INT((ROW()-2)/4)+1)</f>
        <v>30</v>
      </c>
      <c r="B120" s="8" t="str">
        <f t="shared" si="0"/>
        <v>VS-AV</v>
      </c>
      <c r="C120" s="8" t="str">
        <f t="shared" si="1"/>
        <v>Auditory</v>
      </c>
      <c r="D120" s="8" t="str">
        <f t="shared" si="2"/>
        <v>Verbal</v>
      </c>
      <c r="E120" s="8">
        <f t="array" ref="E120">INDEX('Data Collection'!$B$2:$E$54,MATCH(A120,'Data Collection'!$A$2:$A$54,0),MATCH(B120,'Data Collection'!$B$2:$E$2,0))</f>
        <v>103</v>
      </c>
      <c r="F120" s="44" t="str">
        <f t="array" aca="1" ref="F120" ca="1">IFERROR(_xludf.let(cell,INDEX('Data Collection'!$F$2:$I$54,MATCH(A120,'Data Collection'!$A$2:$A$54,0),MATCH(B120,'Data Collection'!$F$2:$I$2,0)),LEFT(cell, FIND("/", cell)-1) / MID(cell, FIND("/", cell)+1, LEN(cell))),"")</f>
        <v/>
      </c>
      <c r="G120" s="45">
        <f t="array" ref="G120">INDEX('Data Collection'!$J$2:$M$54,MATCH(A120,'Data Collection'!$A$2:$A$54,0),MATCH(B120,'Data Collection'!$J$2:$M$2,0))</f>
        <v>70</v>
      </c>
      <c r="H120" s="45">
        <f t="array" ref="H120">INDEX('Data Collection'!$N$2:$Q$54,MATCH(A120,'Data Collection'!$A$2:$A$54,0),MATCH(B120,'Data Collection'!$N$2:$Q$2,0))</f>
        <v>65</v>
      </c>
      <c r="I120" s="45">
        <f t="array" ref="I120">INDEX('Data Collection'!$R$2:$U$54,MATCH(A120,'Data Collection'!$A$2:$A$54,0),MATCH(B120,'Data Collection'!$R$2:$U$2,0))</f>
        <v>10</v>
      </c>
      <c r="J120" s="45">
        <f t="shared" si="3"/>
        <v>48.333333333333336</v>
      </c>
    </row>
    <row r="121" spans="1:10">
      <c r="A121" s="8">
        <f t="array" ref="A121">INDEX('Data Collection'!$A$3:$A$54, INT((ROW()-2)/4)+1)</f>
        <v>30</v>
      </c>
      <c r="B121" s="8" t="str">
        <f t="shared" si="0"/>
        <v>VS-AS</v>
      </c>
      <c r="C121" s="8" t="str">
        <f t="shared" si="1"/>
        <v>Auditory</v>
      </c>
      <c r="D121" s="8" t="str">
        <f t="shared" si="2"/>
        <v>Spatial</v>
      </c>
      <c r="E121" s="8">
        <f t="array" ref="E121">INDEX('Data Collection'!$B$2:$E$54,MATCH(A121,'Data Collection'!$A$2:$A$54,0),MATCH(B121,'Data Collection'!$B$2:$E$2,0))</f>
        <v>106</v>
      </c>
      <c r="F121" s="44" t="str">
        <f t="array" aca="1" ref="F121" ca="1">IFERROR(_xludf.let(cell,INDEX('Data Collection'!$F$2:$I$54,MATCH(A121,'Data Collection'!$A$2:$A$54,0),MATCH(B121,'Data Collection'!$F$2:$I$2,0)),LEFT(cell, FIND("/", cell)-1) / MID(cell, FIND("/", cell)+1, LEN(cell))),"")</f>
        <v/>
      </c>
      <c r="G121" s="45">
        <f t="array" ref="G121">INDEX('Data Collection'!$J$2:$M$54,MATCH(A121,'Data Collection'!$A$2:$A$54,0),MATCH(B121,'Data Collection'!$J$2:$M$2,0))</f>
        <v>20</v>
      </c>
      <c r="H121" s="45">
        <f t="array" ref="H121">INDEX('Data Collection'!$N$2:$Q$54,MATCH(A121,'Data Collection'!$A$2:$A$54,0),MATCH(B121,'Data Collection'!$N$2:$Q$2,0))</f>
        <v>0</v>
      </c>
      <c r="I121" s="45">
        <f t="array" ref="I121">INDEX('Data Collection'!$R$2:$U$54,MATCH(A121,'Data Collection'!$A$2:$A$54,0),MATCH(B121,'Data Collection'!$R$2:$U$2,0))</f>
        <v>25</v>
      </c>
      <c r="J121" s="45">
        <f t="shared" si="3"/>
        <v>15</v>
      </c>
    </row>
    <row r="122" spans="1:10">
      <c r="A122" s="8">
        <f t="array" ref="A122">INDEX('Data Collection'!$A$3:$A$54, INT((ROW()-2)/4)+1)</f>
        <v>31</v>
      </c>
      <c r="B122" s="8" t="str">
        <f t="shared" si="0"/>
        <v>VS-VS</v>
      </c>
      <c r="C122" s="8" t="str">
        <f t="shared" si="1"/>
        <v>Visual</v>
      </c>
      <c r="D122" s="8" t="str">
        <f t="shared" si="2"/>
        <v>Spatial</v>
      </c>
      <c r="E122" s="8">
        <f t="array" ref="E122">INDEX('Data Collection'!$B$2:$E$54,MATCH(A122,'Data Collection'!$A$2:$A$54,0),MATCH(B122,'Data Collection'!$B$2:$E$2,0))</f>
        <v>84</v>
      </c>
      <c r="F122" s="44" t="str">
        <f t="array" aca="1" ref="F122" ca="1">IFERROR(_xludf.let(cell,INDEX('Data Collection'!$F$2:$I$54,MATCH(A122,'Data Collection'!$A$2:$A$54,0),MATCH(B122,'Data Collection'!$F$2:$I$2,0)),LEFT(cell, FIND("/", cell)-1) / MID(cell, FIND("/", cell)+1, LEN(cell))),"")</f>
        <v/>
      </c>
      <c r="G122" s="45">
        <f t="array" ref="G122">INDEX('Data Collection'!$J$2:$M$54,MATCH(A122,'Data Collection'!$A$2:$A$54,0),MATCH(B122,'Data Collection'!$J$2:$M$2,0))</f>
        <v>40</v>
      </c>
      <c r="H122" s="45">
        <f t="array" ref="H122">INDEX('Data Collection'!$N$2:$Q$54,MATCH(A122,'Data Collection'!$A$2:$A$54,0),MATCH(B122,'Data Collection'!$N$2:$Q$2,0))</f>
        <v>15</v>
      </c>
      <c r="I122" s="45">
        <f t="array" ref="I122">INDEX('Data Collection'!$R$2:$U$54,MATCH(A122,'Data Collection'!$A$2:$A$54,0),MATCH(B122,'Data Collection'!$R$2:$U$2,0))</f>
        <v>65</v>
      </c>
      <c r="J122" s="45">
        <f t="shared" si="3"/>
        <v>40</v>
      </c>
    </row>
    <row r="123" spans="1:10">
      <c r="A123" s="8">
        <f t="array" ref="A123">INDEX('Data Collection'!$A$3:$A$54, INT((ROW()-2)/4)+1)</f>
        <v>31</v>
      </c>
      <c r="B123" s="8" t="str">
        <f t="shared" si="0"/>
        <v>VS-VV</v>
      </c>
      <c r="C123" s="8" t="str">
        <f t="shared" si="1"/>
        <v>Visual</v>
      </c>
      <c r="D123" s="8" t="str">
        <f t="shared" si="2"/>
        <v>Verbal</v>
      </c>
      <c r="E123" s="8">
        <f t="array" ref="E123">INDEX('Data Collection'!$B$2:$E$54,MATCH(A123,'Data Collection'!$A$2:$A$54,0),MATCH(B123,'Data Collection'!$B$2:$E$2,0))</f>
        <v>89</v>
      </c>
      <c r="F123" s="44" t="str">
        <f t="array" aca="1" ref="F123" ca="1">IFERROR(_xludf.let(cell,INDEX('Data Collection'!$F$2:$I$54,MATCH(A123,'Data Collection'!$A$2:$A$54,0),MATCH(B123,'Data Collection'!$F$2:$I$2,0)),LEFT(cell, FIND("/", cell)-1) / MID(cell, FIND("/", cell)+1, LEN(cell))),"")</f>
        <v/>
      </c>
      <c r="G123" s="45">
        <f t="array" ref="G123">INDEX('Data Collection'!$J$2:$M$54,MATCH(A123,'Data Collection'!$A$2:$A$54,0),MATCH(B123,'Data Collection'!$J$2:$M$2,0))</f>
        <v>50</v>
      </c>
      <c r="H123" s="45">
        <f t="array" ref="H123">INDEX('Data Collection'!$N$2:$Q$54,MATCH(A123,'Data Collection'!$A$2:$A$54,0),MATCH(B123,'Data Collection'!$N$2:$Q$2,0))</f>
        <v>25</v>
      </c>
      <c r="I123" s="45">
        <f t="array" ref="I123">INDEX('Data Collection'!$R$2:$U$54,MATCH(A123,'Data Collection'!$A$2:$A$54,0),MATCH(B123,'Data Collection'!$R$2:$U$2,0))</f>
        <v>80</v>
      </c>
      <c r="J123" s="45">
        <f t="shared" si="3"/>
        <v>51.666666666666664</v>
      </c>
    </row>
    <row r="124" spans="1:10">
      <c r="A124" s="8">
        <f t="array" ref="A124">INDEX('Data Collection'!$A$3:$A$54, INT((ROW()-2)/4)+1)</f>
        <v>31</v>
      </c>
      <c r="B124" s="8" t="str">
        <f t="shared" si="0"/>
        <v>VS-AV</v>
      </c>
      <c r="C124" s="8" t="str">
        <f t="shared" si="1"/>
        <v>Auditory</v>
      </c>
      <c r="D124" s="8" t="str">
        <f t="shared" si="2"/>
        <v>Verbal</v>
      </c>
      <c r="E124" s="8">
        <f t="array" ref="E124">INDEX('Data Collection'!$B$2:$E$54,MATCH(A124,'Data Collection'!$A$2:$A$54,0),MATCH(B124,'Data Collection'!$B$2:$E$2,0))</f>
        <v>102</v>
      </c>
      <c r="F124" s="44" t="str">
        <f t="array" aca="1" ref="F124" ca="1">IFERROR(_xludf.let(cell,INDEX('Data Collection'!$F$2:$I$54,MATCH(A124,'Data Collection'!$A$2:$A$54,0),MATCH(B124,'Data Collection'!$F$2:$I$2,0)),LEFT(cell, FIND("/", cell)-1) / MID(cell, FIND("/", cell)+1, LEN(cell))),"")</f>
        <v/>
      </c>
      <c r="G124" s="45">
        <f t="array" ref="G124">INDEX('Data Collection'!$J$2:$M$54,MATCH(A124,'Data Collection'!$A$2:$A$54,0),MATCH(B124,'Data Collection'!$J$2:$M$2,0))</f>
        <v>15</v>
      </c>
      <c r="H124" s="45">
        <f t="array" ref="H124">INDEX('Data Collection'!$N$2:$Q$54,MATCH(A124,'Data Collection'!$A$2:$A$54,0),MATCH(B124,'Data Collection'!$N$2:$Q$2,0))</f>
        <v>15</v>
      </c>
      <c r="I124" s="45">
        <f t="array" ref="I124">INDEX('Data Collection'!$R$2:$U$54,MATCH(A124,'Data Collection'!$A$2:$A$54,0),MATCH(B124,'Data Collection'!$R$2:$U$2,0))</f>
        <v>25</v>
      </c>
      <c r="J124" s="45">
        <f t="shared" si="3"/>
        <v>18.333333333333332</v>
      </c>
    </row>
    <row r="125" spans="1:10">
      <c r="A125" s="8">
        <f t="array" ref="A125">INDEX('Data Collection'!$A$3:$A$54, INT((ROW()-2)/4)+1)</f>
        <v>31</v>
      </c>
      <c r="B125" s="8" t="str">
        <f t="shared" si="0"/>
        <v>VS-AS</v>
      </c>
      <c r="C125" s="8" t="str">
        <f t="shared" si="1"/>
        <v>Auditory</v>
      </c>
      <c r="D125" s="8" t="str">
        <f t="shared" si="2"/>
        <v>Spatial</v>
      </c>
      <c r="E125" s="8">
        <f t="array" ref="E125">INDEX('Data Collection'!$B$2:$E$54,MATCH(A125,'Data Collection'!$A$2:$A$54,0),MATCH(B125,'Data Collection'!$B$2:$E$2,0))</f>
        <v>94</v>
      </c>
      <c r="F125" s="44" t="str">
        <f t="array" aca="1" ref="F125" ca="1">IFERROR(_xludf.let(cell,INDEX('Data Collection'!$F$2:$I$54,MATCH(A125,'Data Collection'!$A$2:$A$54,0),MATCH(B125,'Data Collection'!$F$2:$I$2,0)),LEFT(cell, FIND("/", cell)-1) / MID(cell, FIND("/", cell)+1, LEN(cell))),"")</f>
        <v/>
      </c>
      <c r="G125" s="45">
        <f t="array" ref="G125">INDEX('Data Collection'!$J$2:$M$54,MATCH(A125,'Data Collection'!$A$2:$A$54,0),MATCH(B125,'Data Collection'!$J$2:$M$2,0))</f>
        <v>20</v>
      </c>
      <c r="H125" s="45">
        <f t="array" ref="H125">INDEX('Data Collection'!$N$2:$Q$54,MATCH(A125,'Data Collection'!$A$2:$A$54,0),MATCH(B125,'Data Collection'!$N$2:$Q$2,0))</f>
        <v>30</v>
      </c>
      <c r="I125" s="45">
        <f t="array" ref="I125">INDEX('Data Collection'!$R$2:$U$54,MATCH(A125,'Data Collection'!$A$2:$A$54,0),MATCH(B125,'Data Collection'!$R$2:$U$2,0))</f>
        <v>55</v>
      </c>
      <c r="J125" s="45">
        <f t="shared" si="3"/>
        <v>35</v>
      </c>
    </row>
    <row r="126" spans="1:10">
      <c r="A126" s="8">
        <f t="array" ref="A126">INDEX('Data Collection'!$A$3:$A$54, INT((ROW()-2)/4)+1)</f>
        <v>32</v>
      </c>
      <c r="B126" s="8" t="str">
        <f t="shared" si="0"/>
        <v>VS-VS</v>
      </c>
      <c r="C126" s="8" t="str">
        <f t="shared" si="1"/>
        <v>Visual</v>
      </c>
      <c r="D126" s="8" t="str">
        <f t="shared" si="2"/>
        <v>Spatial</v>
      </c>
      <c r="E126" s="8">
        <f t="array" ref="E126">INDEX('Data Collection'!$B$2:$E$54,MATCH(A126,'Data Collection'!$A$2:$A$54,0),MATCH(B126,'Data Collection'!$B$2:$E$2,0))</f>
        <v>162</v>
      </c>
      <c r="F126" s="44" t="str">
        <f t="array" aca="1" ref="F126" ca="1">IFERROR(_xludf.let(cell,INDEX('Data Collection'!$F$2:$I$54,MATCH(A126,'Data Collection'!$A$2:$A$54,0),MATCH(B126,'Data Collection'!$F$2:$I$2,0)),LEFT(cell, FIND("/", cell)-1) / MID(cell, FIND("/", cell)+1, LEN(cell))),"")</f>
        <v/>
      </c>
      <c r="G126" s="45">
        <f t="array" ref="G126">INDEX('Data Collection'!$J$2:$M$54,MATCH(A126,'Data Collection'!$A$2:$A$54,0),MATCH(B126,'Data Collection'!$J$2:$M$2,0))</f>
        <v>40</v>
      </c>
      <c r="H126" s="45">
        <f t="array" ref="H126">INDEX('Data Collection'!$N$2:$Q$54,MATCH(A126,'Data Collection'!$A$2:$A$54,0),MATCH(B126,'Data Collection'!$N$2:$Q$2,0))</f>
        <v>40</v>
      </c>
      <c r="I126" s="45">
        <f t="array" ref="I126">INDEX('Data Collection'!$R$2:$U$54,MATCH(A126,'Data Collection'!$A$2:$A$54,0),MATCH(B126,'Data Collection'!$R$2:$U$2,0))</f>
        <v>40</v>
      </c>
      <c r="J126" s="45">
        <f t="shared" si="3"/>
        <v>40</v>
      </c>
    </row>
    <row r="127" spans="1:10">
      <c r="A127" s="8">
        <f t="array" ref="A127">INDEX('Data Collection'!$A$3:$A$54, INT((ROW()-2)/4)+1)</f>
        <v>32</v>
      </c>
      <c r="B127" s="8" t="str">
        <f t="shared" si="0"/>
        <v>VS-VV</v>
      </c>
      <c r="C127" s="8" t="str">
        <f t="shared" si="1"/>
        <v>Visual</v>
      </c>
      <c r="D127" s="8" t="str">
        <f t="shared" si="2"/>
        <v>Verbal</v>
      </c>
      <c r="E127" s="8">
        <f t="array" ref="E127">INDEX('Data Collection'!$B$2:$E$54,MATCH(A127,'Data Collection'!$A$2:$A$54,0),MATCH(B127,'Data Collection'!$B$2:$E$2,0))</f>
        <v>95</v>
      </c>
      <c r="F127" s="44" t="str">
        <f t="array" aca="1" ref="F127" ca="1">IFERROR(_xludf.let(cell,INDEX('Data Collection'!$F$2:$I$54,MATCH(A127,'Data Collection'!$A$2:$A$54,0),MATCH(B127,'Data Collection'!$F$2:$I$2,0)),LEFT(cell, FIND("/", cell)-1) / MID(cell, FIND("/", cell)+1, LEN(cell))),"")</f>
        <v/>
      </c>
      <c r="G127" s="45">
        <f t="array" ref="G127">INDEX('Data Collection'!$J$2:$M$54,MATCH(A127,'Data Collection'!$A$2:$A$54,0),MATCH(B127,'Data Collection'!$J$2:$M$2,0))</f>
        <v>45</v>
      </c>
      <c r="H127" s="45">
        <f t="array" ref="H127">INDEX('Data Collection'!$N$2:$Q$54,MATCH(A127,'Data Collection'!$A$2:$A$54,0),MATCH(B127,'Data Collection'!$N$2:$Q$2,0))</f>
        <v>45</v>
      </c>
      <c r="I127" s="45">
        <f t="array" ref="I127">INDEX('Data Collection'!$R$2:$U$54,MATCH(A127,'Data Collection'!$A$2:$A$54,0),MATCH(B127,'Data Collection'!$R$2:$U$2,0))</f>
        <v>45</v>
      </c>
      <c r="J127" s="45">
        <f t="shared" si="3"/>
        <v>45</v>
      </c>
    </row>
    <row r="128" spans="1:10">
      <c r="A128" s="8">
        <f t="array" ref="A128">INDEX('Data Collection'!$A$3:$A$54, INT((ROW()-2)/4)+1)</f>
        <v>32</v>
      </c>
      <c r="B128" s="8" t="str">
        <f t="shared" si="0"/>
        <v>VS-AV</v>
      </c>
      <c r="C128" s="8" t="str">
        <f t="shared" si="1"/>
        <v>Auditory</v>
      </c>
      <c r="D128" s="8" t="str">
        <f t="shared" si="2"/>
        <v>Verbal</v>
      </c>
      <c r="E128" s="8">
        <f t="array" ref="E128">INDEX('Data Collection'!$B$2:$E$54,MATCH(A128,'Data Collection'!$A$2:$A$54,0),MATCH(B128,'Data Collection'!$B$2:$E$2,0))</f>
        <v>189</v>
      </c>
      <c r="F128" s="44" t="str">
        <f t="array" aca="1" ref="F128" ca="1">IFERROR(_xludf.let(cell,INDEX('Data Collection'!$F$2:$I$54,MATCH(A128,'Data Collection'!$A$2:$A$54,0),MATCH(B128,'Data Collection'!$F$2:$I$2,0)),LEFT(cell, FIND("/", cell)-1) / MID(cell, FIND("/", cell)+1, LEN(cell))),"")</f>
        <v/>
      </c>
      <c r="G128" s="45">
        <f t="array" ref="G128">INDEX('Data Collection'!$J$2:$M$54,MATCH(A128,'Data Collection'!$A$2:$A$54,0),MATCH(B128,'Data Collection'!$J$2:$M$2,0))</f>
        <v>30</v>
      </c>
      <c r="H128" s="45">
        <f t="array" ref="H128">INDEX('Data Collection'!$N$2:$Q$54,MATCH(A128,'Data Collection'!$A$2:$A$54,0),MATCH(B128,'Data Collection'!$N$2:$Q$2,0))</f>
        <v>90</v>
      </c>
      <c r="I128" s="45">
        <f t="array" ref="I128">INDEX('Data Collection'!$R$2:$U$54,MATCH(A128,'Data Collection'!$A$2:$A$54,0),MATCH(B128,'Data Collection'!$R$2:$U$2,0))</f>
        <v>30</v>
      </c>
      <c r="J128" s="45">
        <f t="shared" si="3"/>
        <v>50</v>
      </c>
    </row>
    <row r="129" spans="1:10">
      <c r="A129" s="8">
        <f t="array" ref="A129">INDEX('Data Collection'!$A$3:$A$54, INT((ROW()-2)/4)+1)</f>
        <v>32</v>
      </c>
      <c r="B129" s="8" t="str">
        <f t="shared" si="0"/>
        <v>VS-AS</v>
      </c>
      <c r="C129" s="8" t="str">
        <f t="shared" si="1"/>
        <v>Auditory</v>
      </c>
      <c r="D129" s="8" t="str">
        <f t="shared" si="2"/>
        <v>Spatial</v>
      </c>
      <c r="E129" s="8">
        <f t="array" ref="E129">INDEX('Data Collection'!$B$2:$E$54,MATCH(A129,'Data Collection'!$A$2:$A$54,0),MATCH(B129,'Data Collection'!$B$2:$E$2,0))</f>
        <v>91</v>
      </c>
      <c r="F129" s="44" t="str">
        <f t="array" aca="1" ref="F129" ca="1">IFERROR(_xludf.let(cell,INDEX('Data Collection'!$F$2:$I$54,MATCH(A129,'Data Collection'!$A$2:$A$54,0),MATCH(B129,'Data Collection'!$F$2:$I$2,0)),LEFT(cell, FIND("/", cell)-1) / MID(cell, FIND("/", cell)+1, LEN(cell))),"")</f>
        <v/>
      </c>
      <c r="G129" s="45">
        <f t="array" ref="G129">INDEX('Data Collection'!$J$2:$M$54,MATCH(A129,'Data Collection'!$A$2:$A$54,0),MATCH(B129,'Data Collection'!$J$2:$M$2,0))</f>
        <v>40</v>
      </c>
      <c r="H129" s="45">
        <f t="array" ref="H129">INDEX('Data Collection'!$N$2:$Q$54,MATCH(A129,'Data Collection'!$A$2:$A$54,0),MATCH(B129,'Data Collection'!$N$2:$Q$2,0))</f>
        <v>65</v>
      </c>
      <c r="I129" s="45">
        <f t="array" ref="I129">INDEX('Data Collection'!$R$2:$U$54,MATCH(A129,'Data Collection'!$A$2:$A$54,0),MATCH(B129,'Data Collection'!$R$2:$U$2,0))</f>
        <v>35</v>
      </c>
      <c r="J129" s="45">
        <f t="shared" si="3"/>
        <v>46.666666666666664</v>
      </c>
    </row>
    <row r="130" spans="1:10">
      <c r="A130" s="8">
        <f t="array" ref="A130">INDEX('Data Collection'!$A$3:$A$54, INT((ROW()-2)/4)+1)</f>
        <v>33</v>
      </c>
      <c r="B130" s="8" t="str">
        <f t="shared" si="0"/>
        <v>VS-VS</v>
      </c>
      <c r="C130" s="8" t="str">
        <f t="shared" si="1"/>
        <v>Visual</v>
      </c>
      <c r="D130" s="8" t="str">
        <f t="shared" si="2"/>
        <v>Spatial</v>
      </c>
      <c r="E130" s="8">
        <f t="array" ref="E130">INDEX('Data Collection'!$B$2:$E$54,MATCH(A130,'Data Collection'!$A$2:$A$54,0),MATCH(B130,'Data Collection'!$B$2:$E$2,0))</f>
        <v>55</v>
      </c>
      <c r="F130" s="44" t="str">
        <f t="array" aca="1" ref="F130" ca="1">IFERROR(_xludf.let(cell,INDEX('Data Collection'!$F$2:$I$54,MATCH(A130,'Data Collection'!$A$2:$A$54,0),MATCH(B130,'Data Collection'!$F$2:$I$2,0)),LEFT(cell, FIND("/", cell)-1) / MID(cell, FIND("/", cell)+1, LEN(cell))),"")</f>
        <v/>
      </c>
      <c r="G130" s="45">
        <f t="array" ref="G130">INDEX('Data Collection'!$J$2:$M$54,MATCH(A130,'Data Collection'!$A$2:$A$54,0),MATCH(B130,'Data Collection'!$J$2:$M$2,0))</f>
        <v>5</v>
      </c>
      <c r="H130" s="45">
        <f t="array" ref="H130">INDEX('Data Collection'!$N$2:$Q$54,MATCH(A130,'Data Collection'!$A$2:$A$54,0),MATCH(B130,'Data Collection'!$N$2:$Q$2,0))</f>
        <v>20</v>
      </c>
      <c r="I130" s="45">
        <f t="array" ref="I130">INDEX('Data Collection'!$R$2:$U$54,MATCH(A130,'Data Collection'!$A$2:$A$54,0),MATCH(B130,'Data Collection'!$R$2:$U$2,0))</f>
        <v>65</v>
      </c>
      <c r="J130" s="45">
        <f t="shared" si="3"/>
        <v>30</v>
      </c>
    </row>
    <row r="131" spans="1:10">
      <c r="A131" s="8">
        <f t="array" ref="A131">INDEX('Data Collection'!$A$3:$A$54, INT((ROW()-2)/4)+1)</f>
        <v>33</v>
      </c>
      <c r="B131" s="8" t="str">
        <f t="shared" si="0"/>
        <v>VS-VV</v>
      </c>
      <c r="C131" s="8" t="str">
        <f t="shared" si="1"/>
        <v>Visual</v>
      </c>
      <c r="D131" s="8" t="str">
        <f t="shared" si="2"/>
        <v>Verbal</v>
      </c>
      <c r="E131" s="8">
        <f t="array" ref="E131">INDEX('Data Collection'!$B$2:$E$54,MATCH(A131,'Data Collection'!$A$2:$A$54,0),MATCH(B131,'Data Collection'!$B$2:$E$2,0))</f>
        <v>52</v>
      </c>
      <c r="F131" s="44" t="str">
        <f t="array" aca="1" ref="F131" ca="1">IFERROR(_xludf.let(cell,INDEX('Data Collection'!$F$2:$I$54,MATCH(A131,'Data Collection'!$A$2:$A$54,0),MATCH(B131,'Data Collection'!$F$2:$I$2,0)),LEFT(cell, FIND("/", cell)-1) / MID(cell, FIND("/", cell)+1, LEN(cell))),"")</f>
        <v/>
      </c>
      <c r="G131" s="45">
        <f t="array" ref="G131">INDEX('Data Collection'!$J$2:$M$54,MATCH(A131,'Data Collection'!$A$2:$A$54,0),MATCH(B131,'Data Collection'!$J$2:$M$2,0))</f>
        <v>10</v>
      </c>
      <c r="H131" s="45">
        <f t="array" ref="H131">INDEX('Data Collection'!$N$2:$Q$54,MATCH(A131,'Data Collection'!$A$2:$A$54,0),MATCH(B131,'Data Collection'!$N$2:$Q$2,0))</f>
        <v>45</v>
      </c>
      <c r="I131" s="45">
        <f t="array" ref="I131">INDEX('Data Collection'!$R$2:$U$54,MATCH(A131,'Data Collection'!$A$2:$A$54,0),MATCH(B131,'Data Collection'!$R$2:$U$2,0))</f>
        <v>75</v>
      </c>
      <c r="J131" s="45">
        <f t="shared" si="3"/>
        <v>43.333333333333336</v>
      </c>
    </row>
    <row r="132" spans="1:10">
      <c r="A132" s="8">
        <f t="array" ref="A132">INDEX('Data Collection'!$A$3:$A$54, INT((ROW()-2)/4)+1)</f>
        <v>33</v>
      </c>
      <c r="B132" s="8" t="str">
        <f t="shared" si="0"/>
        <v>VS-AV</v>
      </c>
      <c r="C132" s="8" t="str">
        <f t="shared" si="1"/>
        <v>Auditory</v>
      </c>
      <c r="D132" s="8" t="str">
        <f t="shared" si="2"/>
        <v>Verbal</v>
      </c>
      <c r="E132" s="8">
        <f t="array" ref="E132">INDEX('Data Collection'!$B$2:$E$54,MATCH(A132,'Data Collection'!$A$2:$A$54,0),MATCH(B132,'Data Collection'!$B$2:$E$2,0))</f>
        <v>50</v>
      </c>
      <c r="F132" s="44" t="str">
        <f t="array" aca="1" ref="F132" ca="1">IFERROR(_xludf.let(cell,INDEX('Data Collection'!$F$2:$I$54,MATCH(A132,'Data Collection'!$A$2:$A$54,0),MATCH(B132,'Data Collection'!$F$2:$I$2,0)),LEFT(cell, FIND("/", cell)-1) / MID(cell, FIND("/", cell)+1, LEN(cell))),"")</f>
        <v/>
      </c>
      <c r="G132" s="45">
        <f t="array" ref="G132">INDEX('Data Collection'!$J$2:$M$54,MATCH(A132,'Data Collection'!$A$2:$A$54,0),MATCH(B132,'Data Collection'!$J$2:$M$2,0))</f>
        <v>0</v>
      </c>
      <c r="H132" s="45">
        <f t="array" ref="H132">INDEX('Data Collection'!$N$2:$Q$54,MATCH(A132,'Data Collection'!$A$2:$A$54,0),MATCH(B132,'Data Collection'!$N$2:$Q$2,0))</f>
        <v>15</v>
      </c>
      <c r="I132" s="45">
        <f t="array" ref="I132">INDEX('Data Collection'!$R$2:$U$54,MATCH(A132,'Data Collection'!$A$2:$A$54,0),MATCH(B132,'Data Collection'!$R$2:$U$2,0))</f>
        <v>45</v>
      </c>
      <c r="J132" s="45">
        <f t="shared" si="3"/>
        <v>20</v>
      </c>
    </row>
    <row r="133" spans="1:10">
      <c r="A133" s="8">
        <f t="array" ref="A133">INDEX('Data Collection'!$A$3:$A$54, INT((ROW()-2)/4)+1)</f>
        <v>33</v>
      </c>
      <c r="B133" s="8" t="str">
        <f t="shared" si="0"/>
        <v>VS-AS</v>
      </c>
      <c r="C133" s="8" t="str">
        <f t="shared" si="1"/>
        <v>Auditory</v>
      </c>
      <c r="D133" s="8" t="str">
        <f t="shared" si="2"/>
        <v>Spatial</v>
      </c>
      <c r="E133" s="8">
        <f t="array" ref="E133">INDEX('Data Collection'!$B$2:$E$54,MATCH(A133,'Data Collection'!$A$2:$A$54,0),MATCH(B133,'Data Collection'!$B$2:$E$2,0))</f>
        <v>49</v>
      </c>
      <c r="F133" s="44" t="str">
        <f t="array" aca="1" ref="F133" ca="1">IFERROR(_xludf.let(cell,INDEX('Data Collection'!$F$2:$I$54,MATCH(A133,'Data Collection'!$A$2:$A$54,0),MATCH(B133,'Data Collection'!$F$2:$I$2,0)),LEFT(cell, FIND("/", cell)-1) / MID(cell, FIND("/", cell)+1, LEN(cell))),"")</f>
        <v/>
      </c>
      <c r="G133" s="45">
        <f t="array" ref="G133">INDEX('Data Collection'!$J$2:$M$54,MATCH(A133,'Data Collection'!$A$2:$A$54,0),MATCH(B133,'Data Collection'!$J$2:$M$2,0))</f>
        <v>0</v>
      </c>
      <c r="H133" s="45">
        <f t="array" ref="H133">INDEX('Data Collection'!$N$2:$Q$54,MATCH(A133,'Data Collection'!$A$2:$A$54,0),MATCH(B133,'Data Collection'!$N$2:$Q$2,0))</f>
        <v>20</v>
      </c>
      <c r="I133" s="45">
        <f t="array" ref="I133">INDEX('Data Collection'!$R$2:$U$54,MATCH(A133,'Data Collection'!$A$2:$A$54,0),MATCH(B133,'Data Collection'!$R$2:$U$2,0))</f>
        <v>45</v>
      </c>
      <c r="J133" s="45">
        <f t="shared" si="3"/>
        <v>21.666666666666668</v>
      </c>
    </row>
    <row r="134" spans="1:10">
      <c r="A134" s="8">
        <f t="array" ref="A134">INDEX('Data Collection'!$A$3:$A$54, INT((ROW()-2)/4)+1)</f>
        <v>34</v>
      </c>
      <c r="B134" s="8" t="str">
        <f t="shared" si="0"/>
        <v>VS-VS</v>
      </c>
      <c r="C134" s="8" t="str">
        <f t="shared" si="1"/>
        <v>Visual</v>
      </c>
      <c r="D134" s="8" t="str">
        <f t="shared" si="2"/>
        <v>Spatial</v>
      </c>
      <c r="E134" s="8">
        <f t="array" ref="E134">INDEX('Data Collection'!$B$2:$E$54,MATCH(A134,'Data Collection'!$A$2:$A$54,0),MATCH(B134,'Data Collection'!$B$2:$E$2,0))</f>
        <v>111</v>
      </c>
      <c r="F134" s="44" t="str">
        <f t="array" aca="1" ref="F134" ca="1">IFERROR(_xludf.let(cell,INDEX('Data Collection'!$F$2:$I$54,MATCH(A134,'Data Collection'!$A$2:$A$54,0),MATCH(B134,'Data Collection'!$F$2:$I$2,0)),LEFT(cell, FIND("/", cell)-1) / MID(cell, FIND("/", cell)+1, LEN(cell))),"")</f>
        <v/>
      </c>
      <c r="G134" s="45">
        <f t="array" ref="G134">INDEX('Data Collection'!$J$2:$M$54,MATCH(A134,'Data Collection'!$A$2:$A$54,0),MATCH(B134,'Data Collection'!$J$2:$M$2,0))</f>
        <v>60</v>
      </c>
      <c r="H134" s="45">
        <f t="array" ref="H134">INDEX('Data Collection'!$N$2:$Q$54,MATCH(A134,'Data Collection'!$A$2:$A$54,0),MATCH(B134,'Data Collection'!$N$2:$Q$2,0))</f>
        <v>30</v>
      </c>
      <c r="I134" s="45">
        <f t="array" ref="I134">INDEX('Data Collection'!$R$2:$U$54,MATCH(A134,'Data Collection'!$A$2:$A$54,0),MATCH(B134,'Data Collection'!$R$2:$U$2,0))</f>
        <v>70</v>
      </c>
      <c r="J134" s="45">
        <f t="shared" si="3"/>
        <v>53.333333333333336</v>
      </c>
    </row>
    <row r="135" spans="1:10">
      <c r="A135" s="8">
        <f t="array" ref="A135">INDEX('Data Collection'!$A$3:$A$54, INT((ROW()-2)/4)+1)</f>
        <v>34</v>
      </c>
      <c r="B135" s="8" t="str">
        <f t="shared" si="0"/>
        <v>VS-VV</v>
      </c>
      <c r="C135" s="8" t="str">
        <f t="shared" si="1"/>
        <v>Visual</v>
      </c>
      <c r="D135" s="8" t="str">
        <f t="shared" si="2"/>
        <v>Verbal</v>
      </c>
      <c r="E135" s="8">
        <f t="array" ref="E135">INDEX('Data Collection'!$B$2:$E$54,MATCH(A135,'Data Collection'!$A$2:$A$54,0),MATCH(B135,'Data Collection'!$B$2:$E$2,0))</f>
        <v>60</v>
      </c>
      <c r="F135" s="44" t="str">
        <f t="array" aca="1" ref="F135" ca="1">IFERROR(_xludf.let(cell,INDEX('Data Collection'!$F$2:$I$54,MATCH(A135,'Data Collection'!$A$2:$A$54,0),MATCH(B135,'Data Collection'!$F$2:$I$2,0)),LEFT(cell, FIND("/", cell)-1) / MID(cell, FIND("/", cell)+1, LEN(cell))),"")</f>
        <v/>
      </c>
      <c r="G135" s="45">
        <f t="array" ref="G135">INDEX('Data Collection'!$J$2:$M$54,MATCH(A135,'Data Collection'!$A$2:$A$54,0),MATCH(B135,'Data Collection'!$J$2:$M$2,0))</f>
        <v>25</v>
      </c>
      <c r="H135" s="45">
        <f t="array" ref="H135">INDEX('Data Collection'!$N$2:$Q$54,MATCH(A135,'Data Collection'!$A$2:$A$54,0),MATCH(B135,'Data Collection'!$N$2:$Q$2,0))</f>
        <v>45</v>
      </c>
      <c r="I135" s="45">
        <f t="array" ref="I135">INDEX('Data Collection'!$R$2:$U$54,MATCH(A135,'Data Collection'!$A$2:$A$54,0),MATCH(B135,'Data Collection'!$R$2:$U$2,0))</f>
        <v>55</v>
      </c>
      <c r="J135" s="45">
        <f t="shared" si="3"/>
        <v>41.666666666666664</v>
      </c>
    </row>
    <row r="136" spans="1:10">
      <c r="A136" s="8">
        <f t="array" ref="A136">INDEX('Data Collection'!$A$3:$A$54, INT((ROW()-2)/4)+1)</f>
        <v>34</v>
      </c>
      <c r="B136" s="8" t="str">
        <f t="shared" si="0"/>
        <v>VS-AV</v>
      </c>
      <c r="C136" s="8" t="str">
        <f t="shared" si="1"/>
        <v>Auditory</v>
      </c>
      <c r="D136" s="8" t="str">
        <f t="shared" si="2"/>
        <v>Verbal</v>
      </c>
      <c r="E136" s="8">
        <f t="array" ref="E136">INDEX('Data Collection'!$B$2:$E$54,MATCH(A136,'Data Collection'!$A$2:$A$54,0),MATCH(B136,'Data Collection'!$B$2:$E$2,0))</f>
        <v>73</v>
      </c>
      <c r="F136" s="44" t="str">
        <f t="array" aca="1" ref="F136" ca="1">IFERROR(_xludf.let(cell,INDEX('Data Collection'!$F$2:$I$54,MATCH(A136,'Data Collection'!$A$2:$A$54,0),MATCH(B136,'Data Collection'!$F$2:$I$2,0)),LEFT(cell, FIND("/", cell)-1) / MID(cell, FIND("/", cell)+1, LEN(cell))),"")</f>
        <v/>
      </c>
      <c r="G136" s="45">
        <f t="array" ref="G136">INDEX('Data Collection'!$J$2:$M$54,MATCH(A136,'Data Collection'!$A$2:$A$54,0),MATCH(B136,'Data Collection'!$J$2:$M$2,0))</f>
        <v>30</v>
      </c>
      <c r="H136" s="45">
        <f t="array" ref="H136">INDEX('Data Collection'!$N$2:$Q$54,MATCH(A136,'Data Collection'!$A$2:$A$54,0),MATCH(B136,'Data Collection'!$N$2:$Q$2,0))</f>
        <v>25</v>
      </c>
      <c r="I136" s="45">
        <f t="array" ref="I136">INDEX('Data Collection'!$R$2:$U$54,MATCH(A136,'Data Collection'!$A$2:$A$54,0),MATCH(B136,'Data Collection'!$R$2:$U$2,0))</f>
        <v>35</v>
      </c>
      <c r="J136" s="45">
        <f t="shared" si="3"/>
        <v>30</v>
      </c>
    </row>
    <row r="137" spans="1:10">
      <c r="A137" s="8">
        <f t="array" ref="A137">INDEX('Data Collection'!$A$3:$A$54, INT((ROW()-2)/4)+1)</f>
        <v>34</v>
      </c>
      <c r="B137" s="8" t="str">
        <f t="shared" si="0"/>
        <v>VS-AS</v>
      </c>
      <c r="C137" s="8" t="str">
        <f t="shared" si="1"/>
        <v>Auditory</v>
      </c>
      <c r="D137" s="8" t="str">
        <f t="shared" si="2"/>
        <v>Spatial</v>
      </c>
      <c r="E137" s="8">
        <f t="array" ref="E137">INDEX('Data Collection'!$B$2:$E$54,MATCH(A137,'Data Collection'!$A$2:$A$54,0),MATCH(B137,'Data Collection'!$B$2:$E$2,0))</f>
        <v>75</v>
      </c>
      <c r="F137" s="44" t="str">
        <f t="array" aca="1" ref="F137" ca="1">IFERROR(_xludf.let(cell,INDEX('Data Collection'!$F$2:$I$54,MATCH(A137,'Data Collection'!$A$2:$A$54,0),MATCH(B137,'Data Collection'!$F$2:$I$2,0)),LEFT(cell, FIND("/", cell)-1) / MID(cell, FIND("/", cell)+1, LEN(cell))),"")</f>
        <v/>
      </c>
      <c r="G137" s="45">
        <f t="array" ref="G137">INDEX('Data Collection'!$J$2:$M$54,MATCH(A137,'Data Collection'!$A$2:$A$54,0),MATCH(B137,'Data Collection'!$J$2:$M$2,0))</f>
        <v>60</v>
      </c>
      <c r="H137" s="45">
        <f t="array" ref="H137">INDEX('Data Collection'!$N$2:$Q$54,MATCH(A137,'Data Collection'!$A$2:$A$54,0),MATCH(B137,'Data Collection'!$N$2:$Q$2,0))</f>
        <v>35</v>
      </c>
      <c r="I137" s="45">
        <f t="array" ref="I137">INDEX('Data Collection'!$R$2:$U$54,MATCH(A137,'Data Collection'!$A$2:$A$54,0),MATCH(B137,'Data Collection'!$R$2:$U$2,0))</f>
        <v>75</v>
      </c>
      <c r="J137" s="45">
        <f t="shared" si="3"/>
        <v>56.666666666666664</v>
      </c>
    </row>
    <row r="138" spans="1:10">
      <c r="A138" s="8">
        <f t="array" ref="A138">INDEX('Data Collection'!$A$3:$A$54, INT((ROW()-2)/4)+1)</f>
        <v>35</v>
      </c>
      <c r="B138" s="8" t="str">
        <f t="shared" si="0"/>
        <v>VS-VS</v>
      </c>
      <c r="C138" s="8" t="str">
        <f t="shared" si="1"/>
        <v>Visual</v>
      </c>
      <c r="D138" s="8" t="str">
        <f t="shared" si="2"/>
        <v>Spatial</v>
      </c>
      <c r="E138" s="8">
        <f t="array" ref="E138">INDEX('Data Collection'!$B$2:$E$54,MATCH(A138,'Data Collection'!$A$2:$A$54,0),MATCH(B138,'Data Collection'!$B$2:$E$2,0))</f>
        <v>83</v>
      </c>
      <c r="F138" s="44" t="str">
        <f t="array" aca="1" ref="F138" ca="1">IFERROR(_xludf.let(cell,INDEX('Data Collection'!$F$2:$I$54,MATCH(A138,'Data Collection'!$A$2:$A$54,0),MATCH(B138,'Data Collection'!$F$2:$I$2,0)),LEFT(cell, FIND("/", cell)-1) / MID(cell, FIND("/", cell)+1, LEN(cell))),"")</f>
        <v/>
      </c>
      <c r="G138" s="45">
        <f t="array" ref="G138">INDEX('Data Collection'!$J$2:$M$54,MATCH(A138,'Data Collection'!$A$2:$A$54,0),MATCH(B138,'Data Collection'!$J$2:$M$2,0))</f>
        <v>65</v>
      </c>
      <c r="H138" s="45">
        <f t="array" ref="H138">INDEX('Data Collection'!$N$2:$Q$54,MATCH(A138,'Data Collection'!$A$2:$A$54,0),MATCH(B138,'Data Collection'!$N$2:$Q$2,0))</f>
        <v>55</v>
      </c>
      <c r="I138" s="45">
        <f t="array" ref="I138">INDEX('Data Collection'!$R$2:$U$54,MATCH(A138,'Data Collection'!$A$2:$A$54,0),MATCH(B138,'Data Collection'!$R$2:$U$2,0))</f>
        <v>70</v>
      </c>
      <c r="J138" s="45">
        <f t="shared" si="3"/>
        <v>63.333333333333336</v>
      </c>
    </row>
    <row r="139" spans="1:10">
      <c r="A139" s="8">
        <f t="array" ref="A139">INDEX('Data Collection'!$A$3:$A$54, INT((ROW()-2)/4)+1)</f>
        <v>35</v>
      </c>
      <c r="B139" s="8" t="str">
        <f t="shared" si="0"/>
        <v>VS-VV</v>
      </c>
      <c r="C139" s="8" t="str">
        <f t="shared" si="1"/>
        <v>Visual</v>
      </c>
      <c r="D139" s="8" t="str">
        <f t="shared" si="2"/>
        <v>Verbal</v>
      </c>
      <c r="E139" s="8">
        <f t="array" ref="E139">INDEX('Data Collection'!$B$2:$E$54,MATCH(A139,'Data Collection'!$A$2:$A$54,0),MATCH(B139,'Data Collection'!$B$2:$E$2,0))</f>
        <v>69</v>
      </c>
      <c r="F139" s="44" t="str">
        <f t="array" aca="1" ref="F139" ca="1">IFERROR(_xludf.let(cell,INDEX('Data Collection'!$F$2:$I$54,MATCH(A139,'Data Collection'!$A$2:$A$54,0),MATCH(B139,'Data Collection'!$F$2:$I$2,0)),LEFT(cell, FIND("/", cell)-1) / MID(cell, FIND("/", cell)+1, LEN(cell))),"")</f>
        <v/>
      </c>
      <c r="G139" s="45">
        <f t="array" ref="G139">INDEX('Data Collection'!$J$2:$M$54,MATCH(A139,'Data Collection'!$A$2:$A$54,0),MATCH(B139,'Data Collection'!$J$2:$M$2,0))</f>
        <v>65</v>
      </c>
      <c r="H139" s="45">
        <f t="array" ref="H139">INDEX('Data Collection'!$N$2:$Q$54,MATCH(A139,'Data Collection'!$A$2:$A$54,0),MATCH(B139,'Data Collection'!$N$2:$Q$2,0))</f>
        <v>60</v>
      </c>
      <c r="I139" s="45">
        <f t="array" ref="I139">INDEX('Data Collection'!$R$2:$U$54,MATCH(A139,'Data Collection'!$A$2:$A$54,0),MATCH(B139,'Data Collection'!$R$2:$U$2,0))</f>
        <v>65</v>
      </c>
      <c r="J139" s="45">
        <f t="shared" si="3"/>
        <v>63.333333333333336</v>
      </c>
    </row>
    <row r="140" spans="1:10">
      <c r="A140" s="8">
        <f t="array" ref="A140">INDEX('Data Collection'!$A$3:$A$54, INT((ROW()-2)/4)+1)</f>
        <v>35</v>
      </c>
      <c r="B140" s="8" t="str">
        <f t="shared" si="0"/>
        <v>VS-AV</v>
      </c>
      <c r="C140" s="8" t="str">
        <f t="shared" si="1"/>
        <v>Auditory</v>
      </c>
      <c r="D140" s="8" t="str">
        <f t="shared" si="2"/>
        <v>Verbal</v>
      </c>
      <c r="E140" s="8">
        <f t="array" ref="E140">INDEX('Data Collection'!$B$2:$E$54,MATCH(A140,'Data Collection'!$A$2:$A$54,0),MATCH(B140,'Data Collection'!$B$2:$E$2,0))</f>
        <v>62</v>
      </c>
      <c r="F140" s="44" t="str">
        <f t="array" aca="1" ref="F140" ca="1">IFERROR(_xludf.let(cell,INDEX('Data Collection'!$F$2:$I$54,MATCH(A140,'Data Collection'!$A$2:$A$54,0),MATCH(B140,'Data Collection'!$F$2:$I$2,0)),LEFT(cell, FIND("/", cell)-1) / MID(cell, FIND("/", cell)+1, LEN(cell))),"")</f>
        <v/>
      </c>
      <c r="G140" s="45">
        <f t="array" ref="G140">INDEX('Data Collection'!$J$2:$M$54,MATCH(A140,'Data Collection'!$A$2:$A$54,0),MATCH(B140,'Data Collection'!$J$2:$M$2,0))</f>
        <v>55</v>
      </c>
      <c r="H140" s="45">
        <f t="array" ref="H140">INDEX('Data Collection'!$N$2:$Q$54,MATCH(A140,'Data Collection'!$A$2:$A$54,0),MATCH(B140,'Data Collection'!$N$2:$Q$2,0))</f>
        <v>95</v>
      </c>
      <c r="I140" s="45">
        <f t="array" ref="I140">INDEX('Data Collection'!$R$2:$U$54,MATCH(A140,'Data Collection'!$A$2:$A$54,0),MATCH(B140,'Data Collection'!$R$2:$U$2,0))</f>
        <v>65</v>
      </c>
      <c r="J140" s="45">
        <f t="shared" si="3"/>
        <v>71.666666666666671</v>
      </c>
    </row>
    <row r="141" spans="1:10">
      <c r="A141" s="8">
        <f t="array" ref="A141">INDEX('Data Collection'!$A$3:$A$54, INT((ROW()-2)/4)+1)</f>
        <v>35</v>
      </c>
      <c r="B141" s="8" t="str">
        <f t="shared" si="0"/>
        <v>VS-AS</v>
      </c>
      <c r="C141" s="8" t="str">
        <f t="shared" si="1"/>
        <v>Auditory</v>
      </c>
      <c r="D141" s="8" t="str">
        <f t="shared" si="2"/>
        <v>Spatial</v>
      </c>
      <c r="E141" s="8">
        <f t="array" ref="E141">INDEX('Data Collection'!$B$2:$E$54,MATCH(A141,'Data Collection'!$A$2:$A$54,0),MATCH(B141,'Data Collection'!$B$2:$E$2,0))</f>
        <v>61</v>
      </c>
      <c r="F141" s="44" t="str">
        <f t="array" aca="1" ref="F141" ca="1">IFERROR(_xludf.let(cell,INDEX('Data Collection'!$F$2:$I$54,MATCH(A141,'Data Collection'!$A$2:$A$54,0),MATCH(B141,'Data Collection'!$F$2:$I$2,0)),LEFT(cell, FIND("/", cell)-1) / MID(cell, FIND("/", cell)+1, LEN(cell))),"")</f>
        <v/>
      </c>
      <c r="G141" s="45">
        <f t="array" ref="G141">INDEX('Data Collection'!$J$2:$M$54,MATCH(A141,'Data Collection'!$A$2:$A$54,0),MATCH(B141,'Data Collection'!$J$2:$M$2,0))</f>
        <v>65</v>
      </c>
      <c r="H141" s="45">
        <f t="array" ref="H141">INDEX('Data Collection'!$N$2:$Q$54,MATCH(A141,'Data Collection'!$A$2:$A$54,0),MATCH(B141,'Data Collection'!$N$2:$Q$2,0))</f>
        <v>85</v>
      </c>
      <c r="I141" s="45">
        <f t="array" ref="I141">INDEX('Data Collection'!$R$2:$U$54,MATCH(A141,'Data Collection'!$A$2:$A$54,0),MATCH(B141,'Data Collection'!$R$2:$U$2,0))</f>
        <v>75</v>
      </c>
      <c r="J141" s="45">
        <f t="shared" si="3"/>
        <v>75</v>
      </c>
    </row>
    <row r="142" spans="1:10">
      <c r="A142" s="8">
        <f t="array" ref="A142">INDEX('Data Collection'!$A$3:$A$54, INT((ROW()-2)/4)+1)</f>
        <v>36</v>
      </c>
      <c r="B142" s="8" t="str">
        <f t="shared" si="0"/>
        <v>VS-VS</v>
      </c>
      <c r="C142" s="8" t="str">
        <f t="shared" si="1"/>
        <v>Visual</v>
      </c>
      <c r="D142" s="8" t="str">
        <f t="shared" si="2"/>
        <v>Spatial</v>
      </c>
      <c r="E142" s="8">
        <f t="array" ref="E142">INDEX('Data Collection'!$B$2:$E$54,MATCH(A142,'Data Collection'!$A$2:$A$54,0),MATCH(B142,'Data Collection'!$B$2:$E$2,0))</f>
        <v>82</v>
      </c>
      <c r="F142" s="44" t="str">
        <f t="array" aca="1" ref="F142" ca="1">IFERROR(_xludf.let(cell,INDEX('Data Collection'!$F$2:$I$54,MATCH(A142,'Data Collection'!$A$2:$A$54,0),MATCH(B142,'Data Collection'!$F$2:$I$2,0)),LEFT(cell, FIND("/", cell)-1) / MID(cell, FIND("/", cell)+1, LEN(cell))),"")</f>
        <v/>
      </c>
      <c r="G142" s="45">
        <f t="array" ref="G142">INDEX('Data Collection'!$J$2:$M$54,MATCH(A142,'Data Collection'!$A$2:$A$54,0),MATCH(B142,'Data Collection'!$J$2:$M$2,0))</f>
        <v>0</v>
      </c>
      <c r="H142" s="45">
        <f t="array" ref="H142">INDEX('Data Collection'!$N$2:$Q$54,MATCH(A142,'Data Collection'!$A$2:$A$54,0),MATCH(B142,'Data Collection'!$N$2:$Q$2,0))</f>
        <v>100</v>
      </c>
      <c r="I142" s="45">
        <f t="array" ref="I142">INDEX('Data Collection'!$R$2:$U$54,MATCH(A142,'Data Collection'!$A$2:$A$54,0),MATCH(B142,'Data Collection'!$R$2:$U$2,0))</f>
        <v>90</v>
      </c>
      <c r="J142" s="45">
        <f t="shared" si="3"/>
        <v>63.333333333333336</v>
      </c>
    </row>
    <row r="143" spans="1:10">
      <c r="A143" s="8">
        <f t="array" ref="A143">INDEX('Data Collection'!$A$3:$A$54, INT((ROW()-2)/4)+1)</f>
        <v>36</v>
      </c>
      <c r="B143" s="8" t="str">
        <f t="shared" si="0"/>
        <v>VS-VV</v>
      </c>
      <c r="C143" s="8" t="str">
        <f t="shared" si="1"/>
        <v>Visual</v>
      </c>
      <c r="D143" s="8" t="str">
        <f t="shared" si="2"/>
        <v>Verbal</v>
      </c>
      <c r="E143" s="8">
        <f t="array" ref="E143">INDEX('Data Collection'!$B$2:$E$54,MATCH(A143,'Data Collection'!$A$2:$A$54,0),MATCH(B143,'Data Collection'!$B$2:$E$2,0))</f>
        <v>114</v>
      </c>
      <c r="F143" s="44" t="str">
        <f t="array" aca="1" ref="F143" ca="1">IFERROR(_xludf.let(cell,INDEX('Data Collection'!$F$2:$I$54,MATCH(A143,'Data Collection'!$A$2:$A$54,0),MATCH(B143,'Data Collection'!$F$2:$I$2,0)),LEFT(cell, FIND("/", cell)-1) / MID(cell, FIND("/", cell)+1, LEN(cell))),"")</f>
        <v/>
      </c>
      <c r="G143" s="45">
        <f t="array" ref="G143">INDEX('Data Collection'!$J$2:$M$54,MATCH(A143,'Data Collection'!$A$2:$A$54,0),MATCH(B143,'Data Collection'!$J$2:$M$2,0))</f>
        <v>70</v>
      </c>
      <c r="H143" s="45">
        <f t="array" ref="H143">INDEX('Data Collection'!$N$2:$Q$54,MATCH(A143,'Data Collection'!$A$2:$A$54,0),MATCH(B143,'Data Collection'!$N$2:$Q$2,0))</f>
        <v>10</v>
      </c>
      <c r="I143" s="45">
        <f t="array" ref="I143">INDEX('Data Collection'!$R$2:$U$54,MATCH(A143,'Data Collection'!$A$2:$A$54,0),MATCH(B143,'Data Collection'!$R$2:$U$2,0))</f>
        <v>50</v>
      </c>
      <c r="J143" s="45">
        <f t="shared" si="3"/>
        <v>43.333333333333336</v>
      </c>
    </row>
    <row r="144" spans="1:10">
      <c r="A144" s="8">
        <f t="array" ref="A144">INDEX('Data Collection'!$A$3:$A$54, INT((ROW()-2)/4)+1)</f>
        <v>36</v>
      </c>
      <c r="B144" s="8" t="str">
        <f t="shared" si="0"/>
        <v>VS-AV</v>
      </c>
      <c r="C144" s="8" t="str">
        <f t="shared" si="1"/>
        <v>Auditory</v>
      </c>
      <c r="D144" s="8" t="str">
        <f t="shared" si="2"/>
        <v>Verbal</v>
      </c>
      <c r="E144" s="8">
        <f t="array" ref="E144">INDEX('Data Collection'!$B$2:$E$54,MATCH(A144,'Data Collection'!$A$2:$A$54,0),MATCH(B144,'Data Collection'!$B$2:$E$2,0))</f>
        <v>84</v>
      </c>
      <c r="F144" s="44" t="str">
        <f t="array" aca="1" ref="F144" ca="1">IFERROR(_xludf.let(cell,INDEX('Data Collection'!$F$2:$I$54,MATCH(A144,'Data Collection'!$A$2:$A$54,0),MATCH(B144,'Data Collection'!$F$2:$I$2,0)),LEFT(cell, FIND("/", cell)-1) / MID(cell, FIND("/", cell)+1, LEN(cell))),"")</f>
        <v/>
      </c>
      <c r="G144" s="45">
        <f t="array" ref="G144">INDEX('Data Collection'!$J$2:$M$54,MATCH(A144,'Data Collection'!$A$2:$A$54,0),MATCH(B144,'Data Collection'!$J$2:$M$2,0))</f>
        <v>0</v>
      </c>
      <c r="H144" s="45">
        <f t="array" ref="H144">INDEX('Data Collection'!$N$2:$Q$54,MATCH(A144,'Data Collection'!$A$2:$A$54,0),MATCH(B144,'Data Collection'!$N$2:$Q$2,0))</f>
        <v>80</v>
      </c>
      <c r="I144" s="45">
        <f t="array" ref="I144">INDEX('Data Collection'!$R$2:$U$54,MATCH(A144,'Data Collection'!$A$2:$A$54,0),MATCH(B144,'Data Collection'!$R$2:$U$2,0))</f>
        <v>0</v>
      </c>
      <c r="J144" s="45">
        <f t="shared" si="3"/>
        <v>26.666666666666668</v>
      </c>
    </row>
    <row r="145" spans="1:10">
      <c r="A145" s="8">
        <f t="array" ref="A145">INDEX('Data Collection'!$A$3:$A$54, INT((ROW()-2)/4)+1)</f>
        <v>36</v>
      </c>
      <c r="B145" s="8" t="str">
        <f t="shared" si="0"/>
        <v>VS-AS</v>
      </c>
      <c r="C145" s="8" t="str">
        <f t="shared" si="1"/>
        <v>Auditory</v>
      </c>
      <c r="D145" s="8" t="str">
        <f t="shared" si="2"/>
        <v>Spatial</v>
      </c>
      <c r="E145" s="8">
        <f t="array" ref="E145">INDEX('Data Collection'!$B$2:$E$54,MATCH(A145,'Data Collection'!$A$2:$A$54,0),MATCH(B145,'Data Collection'!$B$2:$E$2,0))</f>
        <v>71</v>
      </c>
      <c r="F145" s="44" t="str">
        <f t="array" aca="1" ref="F145" ca="1">IFERROR(_xludf.let(cell,INDEX('Data Collection'!$F$2:$I$54,MATCH(A145,'Data Collection'!$A$2:$A$54,0),MATCH(B145,'Data Collection'!$F$2:$I$2,0)),LEFT(cell, FIND("/", cell)-1) / MID(cell, FIND("/", cell)+1, LEN(cell))),"")</f>
        <v/>
      </c>
      <c r="G145" s="45">
        <f t="array" ref="G145">INDEX('Data Collection'!$J$2:$M$54,MATCH(A145,'Data Collection'!$A$2:$A$54,0),MATCH(B145,'Data Collection'!$J$2:$M$2,0))</f>
        <v>0</v>
      </c>
      <c r="H145" s="45">
        <f t="array" ref="H145">INDEX('Data Collection'!$N$2:$Q$54,MATCH(A145,'Data Collection'!$A$2:$A$54,0),MATCH(B145,'Data Collection'!$N$2:$Q$2,0))</f>
        <v>100</v>
      </c>
      <c r="I145" s="45">
        <f t="array" ref="I145">INDEX('Data Collection'!$R$2:$U$54,MATCH(A145,'Data Collection'!$A$2:$A$54,0),MATCH(B145,'Data Collection'!$R$2:$U$2,0))</f>
        <v>60</v>
      </c>
      <c r="J145" s="45">
        <f t="shared" si="3"/>
        <v>53.333333333333336</v>
      </c>
    </row>
    <row r="146" spans="1:10">
      <c r="A146" s="8">
        <f t="array" ref="A146">INDEX('Data Collection'!$A$3:$A$54, INT((ROW()-2)/4)+1)</f>
        <v>37</v>
      </c>
      <c r="B146" s="8" t="str">
        <f t="shared" si="0"/>
        <v>VS-VS</v>
      </c>
      <c r="C146" s="8" t="str">
        <f t="shared" si="1"/>
        <v>Visual</v>
      </c>
      <c r="D146" s="8" t="str">
        <f t="shared" si="2"/>
        <v>Spatial</v>
      </c>
      <c r="E146" s="8">
        <f t="array" ref="E146">INDEX('Data Collection'!$B$2:$E$54,MATCH(A146,'Data Collection'!$A$2:$A$54,0),MATCH(B146,'Data Collection'!$B$2:$E$2,0))</f>
        <v>83</v>
      </c>
      <c r="F146" s="44" t="str">
        <f t="array" aca="1" ref="F146" ca="1">IFERROR(_xludf.let(cell,INDEX('Data Collection'!$F$2:$I$54,MATCH(A146,'Data Collection'!$A$2:$A$54,0),MATCH(B146,'Data Collection'!$F$2:$I$2,0)),LEFT(cell, FIND("/", cell)-1) / MID(cell, FIND("/", cell)+1, LEN(cell))),"")</f>
        <v/>
      </c>
      <c r="G146" s="45">
        <f t="array" ref="G146">INDEX('Data Collection'!$J$2:$M$54,MATCH(A146,'Data Collection'!$A$2:$A$54,0),MATCH(B146,'Data Collection'!$J$2:$M$2,0))</f>
        <v>5</v>
      </c>
      <c r="H146" s="45">
        <f t="array" ref="H146">INDEX('Data Collection'!$N$2:$Q$54,MATCH(A146,'Data Collection'!$A$2:$A$54,0),MATCH(B146,'Data Collection'!$N$2:$Q$2,0))</f>
        <v>55</v>
      </c>
      <c r="I146" s="45">
        <f t="array" ref="I146">INDEX('Data Collection'!$R$2:$U$54,MATCH(A146,'Data Collection'!$A$2:$A$54,0),MATCH(B146,'Data Collection'!$R$2:$U$2,0))</f>
        <v>60</v>
      </c>
      <c r="J146" s="45">
        <f t="shared" si="3"/>
        <v>40</v>
      </c>
    </row>
    <row r="147" spans="1:10">
      <c r="A147" s="8">
        <f t="array" ref="A147">INDEX('Data Collection'!$A$3:$A$54, INT((ROW()-2)/4)+1)</f>
        <v>37</v>
      </c>
      <c r="B147" s="8" t="str">
        <f t="shared" si="0"/>
        <v>VS-VV</v>
      </c>
      <c r="C147" s="8" t="str">
        <f t="shared" si="1"/>
        <v>Visual</v>
      </c>
      <c r="D147" s="8" t="str">
        <f t="shared" si="2"/>
        <v>Verbal</v>
      </c>
      <c r="E147" s="8">
        <f t="array" ref="E147">INDEX('Data Collection'!$B$2:$E$54,MATCH(A147,'Data Collection'!$A$2:$A$54,0),MATCH(B147,'Data Collection'!$B$2:$E$2,0))</f>
        <v>100</v>
      </c>
      <c r="F147" s="44" t="str">
        <f t="array" aca="1" ref="F147" ca="1">IFERROR(_xludf.let(cell,INDEX('Data Collection'!$F$2:$I$54,MATCH(A147,'Data Collection'!$A$2:$A$54,0),MATCH(B147,'Data Collection'!$F$2:$I$2,0)),LEFT(cell, FIND("/", cell)-1) / MID(cell, FIND("/", cell)+1, LEN(cell))),"")</f>
        <v/>
      </c>
      <c r="G147" s="45">
        <f t="array" ref="G147">INDEX('Data Collection'!$J$2:$M$54,MATCH(A147,'Data Collection'!$A$2:$A$54,0),MATCH(B147,'Data Collection'!$J$2:$M$2,0))</f>
        <v>10</v>
      </c>
      <c r="H147" s="45">
        <f t="array" ref="H147">INDEX('Data Collection'!$N$2:$Q$54,MATCH(A147,'Data Collection'!$A$2:$A$54,0),MATCH(B147,'Data Collection'!$N$2:$Q$2,0))</f>
        <v>55</v>
      </c>
      <c r="I147" s="45">
        <f t="array" ref="I147">INDEX('Data Collection'!$R$2:$U$54,MATCH(A147,'Data Collection'!$A$2:$A$54,0),MATCH(B147,'Data Collection'!$R$2:$U$2,0))</f>
        <v>5</v>
      </c>
      <c r="J147" s="45">
        <f t="shared" si="3"/>
        <v>23.333333333333332</v>
      </c>
    </row>
    <row r="148" spans="1:10">
      <c r="A148" s="8">
        <f t="array" ref="A148">INDEX('Data Collection'!$A$3:$A$54, INT((ROW()-2)/4)+1)</f>
        <v>37</v>
      </c>
      <c r="B148" s="8" t="str">
        <f t="shared" si="0"/>
        <v>VS-AV</v>
      </c>
      <c r="C148" s="8" t="str">
        <f t="shared" si="1"/>
        <v>Auditory</v>
      </c>
      <c r="D148" s="8" t="str">
        <f t="shared" si="2"/>
        <v>Verbal</v>
      </c>
      <c r="E148" s="8">
        <f t="array" ref="E148">INDEX('Data Collection'!$B$2:$E$54,MATCH(A148,'Data Collection'!$A$2:$A$54,0),MATCH(B148,'Data Collection'!$B$2:$E$2,0))</f>
        <v>72</v>
      </c>
      <c r="F148" s="44" t="str">
        <f t="array" aca="1" ref="F148" ca="1">IFERROR(_xludf.let(cell,INDEX('Data Collection'!$F$2:$I$54,MATCH(A148,'Data Collection'!$A$2:$A$54,0),MATCH(B148,'Data Collection'!$F$2:$I$2,0)),LEFT(cell, FIND("/", cell)-1) / MID(cell, FIND("/", cell)+1, LEN(cell))),"")</f>
        <v/>
      </c>
      <c r="G148" s="45">
        <f t="array" ref="G148">INDEX('Data Collection'!$J$2:$M$54,MATCH(A148,'Data Collection'!$A$2:$A$54,0),MATCH(B148,'Data Collection'!$J$2:$M$2,0))</f>
        <v>5</v>
      </c>
      <c r="H148" s="45">
        <f t="array" ref="H148">INDEX('Data Collection'!$N$2:$Q$54,MATCH(A148,'Data Collection'!$A$2:$A$54,0),MATCH(B148,'Data Collection'!$N$2:$Q$2,0))</f>
        <v>5</v>
      </c>
      <c r="I148" s="45">
        <f t="array" ref="I148">INDEX('Data Collection'!$R$2:$U$54,MATCH(A148,'Data Collection'!$A$2:$A$54,0),MATCH(B148,'Data Collection'!$R$2:$U$2,0))</f>
        <v>40</v>
      </c>
      <c r="J148" s="45">
        <f t="shared" si="3"/>
        <v>16.666666666666668</v>
      </c>
    </row>
    <row r="149" spans="1:10">
      <c r="A149" s="8">
        <f t="array" ref="A149">INDEX('Data Collection'!$A$3:$A$54, INT((ROW()-2)/4)+1)</f>
        <v>37</v>
      </c>
      <c r="B149" s="8" t="str">
        <f t="shared" si="0"/>
        <v>VS-AS</v>
      </c>
      <c r="C149" s="8" t="str">
        <f t="shared" si="1"/>
        <v>Auditory</v>
      </c>
      <c r="D149" s="8" t="str">
        <f t="shared" si="2"/>
        <v>Spatial</v>
      </c>
      <c r="E149" s="8">
        <f t="array" ref="E149">INDEX('Data Collection'!$B$2:$E$54,MATCH(A149,'Data Collection'!$A$2:$A$54,0),MATCH(B149,'Data Collection'!$B$2:$E$2,0))</f>
        <v>80</v>
      </c>
      <c r="F149" s="44" t="str">
        <f t="array" aca="1" ref="F149" ca="1">IFERROR(_xludf.let(cell,INDEX('Data Collection'!$F$2:$I$54,MATCH(A149,'Data Collection'!$A$2:$A$54,0),MATCH(B149,'Data Collection'!$F$2:$I$2,0)),LEFT(cell, FIND("/", cell)-1) / MID(cell, FIND("/", cell)+1, LEN(cell))),"")</f>
        <v/>
      </c>
      <c r="G149" s="45">
        <f t="array" ref="G149">INDEX('Data Collection'!$J$2:$M$54,MATCH(A149,'Data Collection'!$A$2:$A$54,0),MATCH(B149,'Data Collection'!$J$2:$M$2,0))</f>
        <v>5</v>
      </c>
      <c r="H149" s="45">
        <f t="array" ref="H149">INDEX('Data Collection'!$N$2:$Q$54,MATCH(A149,'Data Collection'!$A$2:$A$54,0),MATCH(B149,'Data Collection'!$N$2:$Q$2,0))</f>
        <v>45</v>
      </c>
      <c r="I149" s="45">
        <f t="array" ref="I149">INDEX('Data Collection'!$R$2:$U$54,MATCH(A149,'Data Collection'!$A$2:$A$54,0),MATCH(B149,'Data Collection'!$R$2:$U$2,0))</f>
        <v>10</v>
      </c>
      <c r="J149" s="45">
        <f t="shared" si="3"/>
        <v>20</v>
      </c>
    </row>
    <row r="150" spans="1:10">
      <c r="A150" s="8">
        <f t="array" ref="A150">INDEX('Data Collection'!$A$3:$A$54, INT((ROW()-2)/4)+1)</f>
        <v>38</v>
      </c>
      <c r="B150" s="8" t="str">
        <f t="shared" si="0"/>
        <v>VS-VS</v>
      </c>
      <c r="C150" s="8" t="str">
        <f t="shared" si="1"/>
        <v>Visual</v>
      </c>
      <c r="D150" s="8" t="str">
        <f t="shared" si="2"/>
        <v>Spatial</v>
      </c>
      <c r="E150" s="8">
        <f t="array" ref="E150">INDEX('Data Collection'!$B$2:$E$54,MATCH(A150,'Data Collection'!$A$2:$A$54,0),MATCH(B150,'Data Collection'!$B$2:$E$2,0))</f>
        <v>64</v>
      </c>
      <c r="F150" s="44" t="str">
        <f t="array" aca="1" ref="F150" ca="1">IFERROR(_xludf.let(cell,INDEX('Data Collection'!$F$2:$I$54,MATCH(A150,'Data Collection'!$A$2:$A$54,0),MATCH(B150,'Data Collection'!$F$2:$I$2,0)),LEFT(cell, FIND("/", cell)-1) / MID(cell, FIND("/", cell)+1, LEN(cell))),"")</f>
        <v/>
      </c>
      <c r="G150" s="45">
        <f t="array" ref="G150">INDEX('Data Collection'!$J$2:$M$54,MATCH(A150,'Data Collection'!$A$2:$A$54,0),MATCH(B150,'Data Collection'!$J$2:$M$2,0))</f>
        <v>40</v>
      </c>
      <c r="H150" s="45">
        <f t="array" ref="H150">INDEX('Data Collection'!$N$2:$Q$54,MATCH(A150,'Data Collection'!$A$2:$A$54,0),MATCH(B150,'Data Collection'!$N$2:$Q$2,0))</f>
        <v>30</v>
      </c>
      <c r="I150" s="45">
        <f t="array" ref="I150">INDEX('Data Collection'!$R$2:$U$54,MATCH(A150,'Data Collection'!$A$2:$A$54,0),MATCH(B150,'Data Collection'!$R$2:$U$2,0))</f>
        <v>50</v>
      </c>
      <c r="J150" s="45">
        <f t="shared" si="3"/>
        <v>40</v>
      </c>
    </row>
    <row r="151" spans="1:10">
      <c r="A151" s="8">
        <f t="array" ref="A151">INDEX('Data Collection'!$A$3:$A$54, INT((ROW()-2)/4)+1)</f>
        <v>38</v>
      </c>
      <c r="B151" s="8" t="str">
        <f t="shared" si="0"/>
        <v>VS-VV</v>
      </c>
      <c r="C151" s="8" t="str">
        <f t="shared" si="1"/>
        <v>Visual</v>
      </c>
      <c r="D151" s="8" t="str">
        <f t="shared" si="2"/>
        <v>Verbal</v>
      </c>
      <c r="E151" s="8">
        <f t="array" ref="E151">INDEX('Data Collection'!$B$2:$E$54,MATCH(A151,'Data Collection'!$A$2:$A$54,0),MATCH(B151,'Data Collection'!$B$2:$E$2,0))</f>
        <v>49</v>
      </c>
      <c r="F151" s="44" t="str">
        <f t="array" aca="1" ref="F151" ca="1">IFERROR(_xludf.let(cell,INDEX('Data Collection'!$F$2:$I$54,MATCH(A151,'Data Collection'!$A$2:$A$54,0),MATCH(B151,'Data Collection'!$F$2:$I$2,0)),LEFT(cell, FIND("/", cell)-1) / MID(cell, FIND("/", cell)+1, LEN(cell))),"")</f>
        <v/>
      </c>
      <c r="G151" s="45">
        <f t="array" ref="G151">INDEX('Data Collection'!$J$2:$M$54,MATCH(A151,'Data Collection'!$A$2:$A$54,0),MATCH(B151,'Data Collection'!$J$2:$M$2,0))</f>
        <v>40</v>
      </c>
      <c r="H151" s="45">
        <f t="array" ref="H151">INDEX('Data Collection'!$N$2:$Q$54,MATCH(A151,'Data Collection'!$A$2:$A$54,0),MATCH(B151,'Data Collection'!$N$2:$Q$2,0))</f>
        <v>40</v>
      </c>
      <c r="I151" s="45">
        <f t="array" ref="I151">INDEX('Data Collection'!$R$2:$U$54,MATCH(A151,'Data Collection'!$A$2:$A$54,0),MATCH(B151,'Data Collection'!$R$2:$U$2,0))</f>
        <v>55</v>
      </c>
      <c r="J151" s="45">
        <f t="shared" si="3"/>
        <v>45</v>
      </c>
    </row>
    <row r="152" spans="1:10">
      <c r="A152" s="8">
        <f t="array" ref="A152">INDEX('Data Collection'!$A$3:$A$54, INT((ROW()-2)/4)+1)</f>
        <v>38</v>
      </c>
      <c r="B152" s="8" t="str">
        <f t="shared" si="0"/>
        <v>VS-AV</v>
      </c>
      <c r="C152" s="8" t="str">
        <f t="shared" si="1"/>
        <v>Auditory</v>
      </c>
      <c r="D152" s="8" t="str">
        <f t="shared" si="2"/>
        <v>Verbal</v>
      </c>
      <c r="E152" s="8">
        <f t="array" ref="E152">INDEX('Data Collection'!$B$2:$E$54,MATCH(A152,'Data Collection'!$A$2:$A$54,0),MATCH(B152,'Data Collection'!$B$2:$E$2,0))</f>
        <v>54</v>
      </c>
      <c r="F152" s="44" t="str">
        <f t="array" aca="1" ref="F152" ca="1">IFERROR(_xludf.let(cell,INDEX('Data Collection'!$F$2:$I$54,MATCH(A152,'Data Collection'!$A$2:$A$54,0),MATCH(B152,'Data Collection'!$F$2:$I$2,0)),LEFT(cell, FIND("/", cell)-1) / MID(cell, FIND("/", cell)+1, LEN(cell))),"")</f>
        <v/>
      </c>
      <c r="G152" s="45">
        <f t="array" ref="G152">INDEX('Data Collection'!$J$2:$M$54,MATCH(A152,'Data Collection'!$A$2:$A$54,0),MATCH(B152,'Data Collection'!$J$2:$M$2,0))</f>
        <v>25</v>
      </c>
      <c r="H152" s="45">
        <f t="array" ref="H152">INDEX('Data Collection'!$N$2:$Q$54,MATCH(A152,'Data Collection'!$A$2:$A$54,0),MATCH(B152,'Data Collection'!$N$2:$Q$2,0))</f>
        <v>20</v>
      </c>
      <c r="I152" s="45">
        <f t="array" ref="I152">INDEX('Data Collection'!$R$2:$U$54,MATCH(A152,'Data Collection'!$A$2:$A$54,0),MATCH(B152,'Data Collection'!$R$2:$U$2,0))</f>
        <v>30</v>
      </c>
      <c r="J152" s="45">
        <f t="shared" si="3"/>
        <v>25</v>
      </c>
    </row>
    <row r="153" spans="1:10">
      <c r="A153" s="8">
        <f t="array" ref="A153">INDEX('Data Collection'!$A$3:$A$54, INT((ROW()-2)/4)+1)</f>
        <v>38</v>
      </c>
      <c r="B153" s="8" t="str">
        <f t="shared" si="0"/>
        <v>VS-AS</v>
      </c>
      <c r="C153" s="8" t="str">
        <f t="shared" si="1"/>
        <v>Auditory</v>
      </c>
      <c r="D153" s="8" t="str">
        <f t="shared" si="2"/>
        <v>Spatial</v>
      </c>
      <c r="E153" s="8">
        <f t="array" ref="E153">INDEX('Data Collection'!$B$2:$E$54,MATCH(A153,'Data Collection'!$A$2:$A$54,0),MATCH(B153,'Data Collection'!$B$2:$E$2,0))</f>
        <v>62</v>
      </c>
      <c r="F153" s="44" t="str">
        <f t="array" aca="1" ref="F153" ca="1">IFERROR(_xludf.let(cell,INDEX('Data Collection'!$F$2:$I$54,MATCH(A153,'Data Collection'!$A$2:$A$54,0),MATCH(B153,'Data Collection'!$F$2:$I$2,0)),LEFT(cell, FIND("/", cell)-1) / MID(cell, FIND("/", cell)+1, LEN(cell))),"")</f>
        <v/>
      </c>
      <c r="G153" s="45">
        <f t="array" ref="G153">INDEX('Data Collection'!$J$2:$M$54,MATCH(A153,'Data Collection'!$A$2:$A$54,0),MATCH(B153,'Data Collection'!$J$2:$M$2,0))</f>
        <v>30</v>
      </c>
      <c r="H153" s="45">
        <f t="array" ref="H153">INDEX('Data Collection'!$N$2:$Q$54,MATCH(A153,'Data Collection'!$A$2:$A$54,0),MATCH(B153,'Data Collection'!$N$2:$Q$2,0))</f>
        <v>20</v>
      </c>
      <c r="I153" s="45">
        <f t="array" ref="I153">INDEX('Data Collection'!$R$2:$U$54,MATCH(A153,'Data Collection'!$A$2:$A$54,0),MATCH(B153,'Data Collection'!$R$2:$U$2,0))</f>
        <v>40</v>
      </c>
      <c r="J153" s="45">
        <f t="shared" si="3"/>
        <v>30</v>
      </c>
    </row>
    <row r="154" spans="1:10">
      <c r="A154" s="8">
        <f t="array" ref="A154">INDEX('Data Collection'!$A$3:$A$54, INT((ROW()-2)/4)+1)</f>
        <v>39</v>
      </c>
      <c r="B154" s="8" t="str">
        <f t="shared" si="0"/>
        <v>VS-VS</v>
      </c>
      <c r="C154" s="8" t="str">
        <f t="shared" si="1"/>
        <v>Visual</v>
      </c>
      <c r="D154" s="8" t="str">
        <f t="shared" si="2"/>
        <v>Spatial</v>
      </c>
      <c r="E154" s="8">
        <f t="array" ref="E154">INDEX('Data Collection'!$B$2:$E$54,MATCH(A154,'Data Collection'!$A$2:$A$54,0),MATCH(B154,'Data Collection'!$B$2:$E$2,0))</f>
        <v>79</v>
      </c>
      <c r="F154" s="44" t="str">
        <f t="array" aca="1" ref="F154" ca="1">IFERROR(_xludf.let(cell,INDEX('Data Collection'!$F$2:$I$54,MATCH(A154,'Data Collection'!$A$2:$A$54,0),MATCH(B154,'Data Collection'!$F$2:$I$2,0)),LEFT(cell, FIND("/", cell)-1) / MID(cell, FIND("/", cell)+1, LEN(cell))),"")</f>
        <v/>
      </c>
      <c r="G154" s="45">
        <f t="array" ref="G154">INDEX('Data Collection'!$J$2:$M$54,MATCH(A154,'Data Collection'!$A$2:$A$54,0),MATCH(B154,'Data Collection'!$J$2:$M$2,0))</f>
        <v>25</v>
      </c>
      <c r="H154" s="45">
        <f t="array" ref="H154">INDEX('Data Collection'!$N$2:$Q$54,MATCH(A154,'Data Collection'!$A$2:$A$54,0),MATCH(B154,'Data Collection'!$N$2:$Q$2,0))</f>
        <v>25</v>
      </c>
      <c r="I154" s="45">
        <f t="array" ref="I154">INDEX('Data Collection'!$R$2:$U$54,MATCH(A154,'Data Collection'!$A$2:$A$54,0),MATCH(B154,'Data Collection'!$R$2:$U$2,0))</f>
        <v>30</v>
      </c>
      <c r="J154" s="45">
        <f t="shared" si="3"/>
        <v>26.666666666666668</v>
      </c>
    </row>
    <row r="155" spans="1:10">
      <c r="A155" s="8">
        <f t="array" ref="A155">INDEX('Data Collection'!$A$3:$A$54, INT((ROW()-2)/4)+1)</f>
        <v>39</v>
      </c>
      <c r="B155" s="8" t="str">
        <f t="shared" si="0"/>
        <v>VS-VV</v>
      </c>
      <c r="C155" s="8" t="str">
        <f t="shared" si="1"/>
        <v>Visual</v>
      </c>
      <c r="D155" s="8" t="str">
        <f t="shared" si="2"/>
        <v>Verbal</v>
      </c>
      <c r="E155" s="8">
        <f t="array" ref="E155">INDEX('Data Collection'!$B$2:$E$54,MATCH(A155,'Data Collection'!$A$2:$A$54,0),MATCH(B155,'Data Collection'!$B$2:$E$2,0))</f>
        <v>81</v>
      </c>
      <c r="F155" s="44" t="str">
        <f t="array" aca="1" ref="F155" ca="1">IFERROR(_xludf.let(cell,INDEX('Data Collection'!$F$2:$I$54,MATCH(A155,'Data Collection'!$A$2:$A$54,0),MATCH(B155,'Data Collection'!$F$2:$I$2,0)),LEFT(cell, FIND("/", cell)-1) / MID(cell, FIND("/", cell)+1, LEN(cell))),"")</f>
        <v/>
      </c>
      <c r="G155" s="45">
        <f t="array" ref="G155">INDEX('Data Collection'!$J$2:$M$54,MATCH(A155,'Data Collection'!$A$2:$A$54,0),MATCH(B155,'Data Collection'!$J$2:$M$2,0))</f>
        <v>35</v>
      </c>
      <c r="H155" s="45">
        <f t="array" ref="H155">INDEX('Data Collection'!$N$2:$Q$54,MATCH(A155,'Data Collection'!$A$2:$A$54,0),MATCH(B155,'Data Collection'!$N$2:$Q$2,0))</f>
        <v>40</v>
      </c>
      <c r="I155" s="45">
        <f t="array" ref="I155">INDEX('Data Collection'!$R$2:$U$54,MATCH(A155,'Data Collection'!$A$2:$A$54,0),MATCH(B155,'Data Collection'!$R$2:$U$2,0))</f>
        <v>45</v>
      </c>
      <c r="J155" s="45">
        <f t="shared" si="3"/>
        <v>40</v>
      </c>
    </row>
    <row r="156" spans="1:10">
      <c r="A156" s="8">
        <f t="array" ref="A156">INDEX('Data Collection'!$A$3:$A$54, INT((ROW()-2)/4)+1)</f>
        <v>39</v>
      </c>
      <c r="B156" s="8" t="str">
        <f t="shared" si="0"/>
        <v>VS-AV</v>
      </c>
      <c r="C156" s="8" t="str">
        <f t="shared" si="1"/>
        <v>Auditory</v>
      </c>
      <c r="D156" s="8" t="str">
        <f t="shared" si="2"/>
        <v>Verbal</v>
      </c>
      <c r="E156" s="8">
        <f t="array" ref="E156">INDEX('Data Collection'!$B$2:$E$54,MATCH(A156,'Data Collection'!$A$2:$A$54,0),MATCH(B156,'Data Collection'!$B$2:$E$2,0))</f>
        <v>89</v>
      </c>
      <c r="F156" s="44" t="str">
        <f t="array" aca="1" ref="F156" ca="1">IFERROR(_xludf.let(cell,INDEX('Data Collection'!$F$2:$I$54,MATCH(A156,'Data Collection'!$A$2:$A$54,0),MATCH(B156,'Data Collection'!$F$2:$I$2,0)),LEFT(cell, FIND("/", cell)-1) / MID(cell, FIND("/", cell)+1, LEN(cell))),"")</f>
        <v/>
      </c>
      <c r="G156" s="45">
        <f t="array" ref="G156">INDEX('Data Collection'!$J$2:$M$54,MATCH(A156,'Data Collection'!$A$2:$A$54,0),MATCH(B156,'Data Collection'!$J$2:$M$2,0))</f>
        <v>30</v>
      </c>
      <c r="H156" s="45">
        <f t="array" ref="H156">INDEX('Data Collection'!$N$2:$Q$54,MATCH(A156,'Data Collection'!$A$2:$A$54,0),MATCH(B156,'Data Collection'!$N$2:$Q$2,0))</f>
        <v>55</v>
      </c>
      <c r="I156" s="45">
        <f t="array" ref="I156">INDEX('Data Collection'!$R$2:$U$54,MATCH(A156,'Data Collection'!$A$2:$A$54,0),MATCH(B156,'Data Collection'!$R$2:$U$2,0))</f>
        <v>60</v>
      </c>
      <c r="J156" s="45">
        <f t="shared" si="3"/>
        <v>48.333333333333336</v>
      </c>
    </row>
    <row r="157" spans="1:10">
      <c r="A157" s="8">
        <f t="array" ref="A157">INDEX('Data Collection'!$A$3:$A$54, INT((ROW()-2)/4)+1)</f>
        <v>39</v>
      </c>
      <c r="B157" s="8" t="str">
        <f t="shared" si="0"/>
        <v>VS-AS</v>
      </c>
      <c r="C157" s="8" t="str">
        <f t="shared" si="1"/>
        <v>Auditory</v>
      </c>
      <c r="D157" s="8" t="str">
        <f t="shared" si="2"/>
        <v>Spatial</v>
      </c>
      <c r="E157" s="8">
        <f t="array" ref="E157">INDEX('Data Collection'!$B$2:$E$54,MATCH(A157,'Data Collection'!$A$2:$A$54,0),MATCH(B157,'Data Collection'!$B$2:$E$2,0))</f>
        <v>75</v>
      </c>
      <c r="F157" s="44" t="str">
        <f t="array" aca="1" ref="F157" ca="1">IFERROR(_xludf.let(cell,INDEX('Data Collection'!$F$2:$I$54,MATCH(A157,'Data Collection'!$A$2:$A$54,0),MATCH(B157,'Data Collection'!$F$2:$I$2,0)),LEFT(cell, FIND("/", cell)-1) / MID(cell, FIND("/", cell)+1, LEN(cell))),"")</f>
        <v/>
      </c>
      <c r="G157" s="45">
        <f t="array" ref="G157">INDEX('Data Collection'!$J$2:$M$54,MATCH(A157,'Data Collection'!$A$2:$A$54,0),MATCH(B157,'Data Collection'!$J$2:$M$2,0))</f>
        <v>20</v>
      </c>
      <c r="H157" s="45">
        <f t="array" ref="H157">INDEX('Data Collection'!$N$2:$Q$54,MATCH(A157,'Data Collection'!$A$2:$A$54,0),MATCH(B157,'Data Collection'!$N$2:$Q$2,0))</f>
        <v>35</v>
      </c>
      <c r="I157" s="45">
        <f t="array" ref="I157">INDEX('Data Collection'!$R$2:$U$54,MATCH(A157,'Data Collection'!$A$2:$A$54,0),MATCH(B157,'Data Collection'!$R$2:$U$2,0))</f>
        <v>40</v>
      </c>
      <c r="J157" s="45">
        <f t="shared" si="3"/>
        <v>31.666666666666668</v>
      </c>
    </row>
    <row r="158" spans="1:10">
      <c r="A158" s="8">
        <f t="array" ref="A158">INDEX('Data Collection'!$A$3:$A$54, INT((ROW()-2)/4)+1)</f>
        <v>40</v>
      </c>
      <c r="B158" s="8" t="str">
        <f t="shared" si="0"/>
        <v>VS-VS</v>
      </c>
      <c r="C158" s="8" t="str">
        <f t="shared" si="1"/>
        <v>Visual</v>
      </c>
      <c r="D158" s="8" t="str">
        <f t="shared" si="2"/>
        <v>Spatial</v>
      </c>
      <c r="E158" s="8">
        <f t="array" ref="E158">INDEX('Data Collection'!$B$2:$E$54,MATCH(A158,'Data Collection'!$A$2:$A$54,0),MATCH(B158,'Data Collection'!$B$2:$E$2,0))</f>
        <v>59</v>
      </c>
      <c r="F158" s="44" t="str">
        <f t="array" aca="1" ref="F158" ca="1">IFERROR(_xludf.let(cell,INDEX('Data Collection'!$F$2:$I$54,MATCH(A158,'Data Collection'!$A$2:$A$54,0),MATCH(B158,'Data Collection'!$F$2:$I$2,0)),LEFT(cell, FIND("/", cell)-1) / MID(cell, FIND("/", cell)+1, LEN(cell))),"")</f>
        <v/>
      </c>
      <c r="G158" s="45">
        <f t="array" ref="G158">INDEX('Data Collection'!$J$2:$M$54,MATCH(A158,'Data Collection'!$A$2:$A$54,0),MATCH(B158,'Data Collection'!$J$2:$M$2,0))</f>
        <v>20</v>
      </c>
      <c r="H158" s="45">
        <f t="array" ref="H158">INDEX('Data Collection'!$N$2:$Q$54,MATCH(A158,'Data Collection'!$A$2:$A$54,0),MATCH(B158,'Data Collection'!$N$2:$Q$2,0))</f>
        <v>20</v>
      </c>
      <c r="I158" s="45">
        <f t="array" ref="I158">INDEX('Data Collection'!$R$2:$U$54,MATCH(A158,'Data Collection'!$A$2:$A$54,0),MATCH(B158,'Data Collection'!$R$2:$U$2,0))</f>
        <v>30</v>
      </c>
      <c r="J158" s="45">
        <f t="shared" si="3"/>
        <v>23.333333333333332</v>
      </c>
    </row>
    <row r="159" spans="1:10">
      <c r="A159" s="8">
        <f t="array" ref="A159">INDEX('Data Collection'!$A$3:$A$54, INT((ROW()-2)/4)+1)</f>
        <v>40</v>
      </c>
      <c r="B159" s="8" t="str">
        <f t="shared" si="0"/>
        <v>VS-VV</v>
      </c>
      <c r="C159" s="8" t="str">
        <f t="shared" si="1"/>
        <v>Visual</v>
      </c>
      <c r="D159" s="8" t="str">
        <f t="shared" si="2"/>
        <v>Verbal</v>
      </c>
      <c r="E159" s="8">
        <f t="array" ref="E159">INDEX('Data Collection'!$B$2:$E$54,MATCH(A159,'Data Collection'!$A$2:$A$54,0),MATCH(B159,'Data Collection'!$B$2:$E$2,0))</f>
        <v>56</v>
      </c>
      <c r="F159" s="44" t="str">
        <f t="array" aca="1" ref="F159" ca="1">IFERROR(_xludf.let(cell,INDEX('Data Collection'!$F$2:$I$54,MATCH(A159,'Data Collection'!$A$2:$A$54,0),MATCH(B159,'Data Collection'!$F$2:$I$2,0)),LEFT(cell, FIND("/", cell)-1) / MID(cell, FIND("/", cell)+1, LEN(cell))),"")</f>
        <v/>
      </c>
      <c r="G159" s="45">
        <f t="array" ref="G159">INDEX('Data Collection'!$J$2:$M$54,MATCH(A159,'Data Collection'!$A$2:$A$54,0),MATCH(B159,'Data Collection'!$J$2:$M$2,0))</f>
        <v>40</v>
      </c>
      <c r="H159" s="45">
        <f t="array" ref="H159">INDEX('Data Collection'!$N$2:$Q$54,MATCH(A159,'Data Collection'!$A$2:$A$54,0),MATCH(B159,'Data Collection'!$N$2:$Q$2,0))</f>
        <v>40</v>
      </c>
      <c r="I159" s="45">
        <f t="array" ref="I159">INDEX('Data Collection'!$R$2:$U$54,MATCH(A159,'Data Collection'!$A$2:$A$54,0),MATCH(B159,'Data Collection'!$R$2:$U$2,0))</f>
        <v>40</v>
      </c>
      <c r="J159" s="45">
        <f t="shared" si="3"/>
        <v>40</v>
      </c>
    </row>
    <row r="160" spans="1:10">
      <c r="A160" s="8">
        <f t="array" ref="A160">INDEX('Data Collection'!$A$3:$A$54, INT((ROW()-2)/4)+1)</f>
        <v>40</v>
      </c>
      <c r="B160" s="8" t="str">
        <f t="shared" si="0"/>
        <v>VS-AV</v>
      </c>
      <c r="C160" s="8" t="str">
        <f t="shared" si="1"/>
        <v>Auditory</v>
      </c>
      <c r="D160" s="8" t="str">
        <f t="shared" si="2"/>
        <v>Verbal</v>
      </c>
      <c r="E160" s="8">
        <f t="array" ref="E160">INDEX('Data Collection'!$B$2:$E$54,MATCH(A160,'Data Collection'!$A$2:$A$54,0),MATCH(B160,'Data Collection'!$B$2:$E$2,0))</f>
        <v>55</v>
      </c>
      <c r="F160" s="44" t="str">
        <f t="array" aca="1" ref="F160" ca="1">IFERROR(_xludf.let(cell,INDEX('Data Collection'!$F$2:$I$54,MATCH(A160,'Data Collection'!$A$2:$A$54,0),MATCH(B160,'Data Collection'!$F$2:$I$2,0)),LEFT(cell, FIND("/", cell)-1) / MID(cell, FIND("/", cell)+1, LEN(cell))),"")</f>
        <v/>
      </c>
      <c r="G160" s="45">
        <f t="array" ref="G160">INDEX('Data Collection'!$J$2:$M$54,MATCH(A160,'Data Collection'!$A$2:$A$54,0),MATCH(B160,'Data Collection'!$J$2:$M$2,0))</f>
        <v>30</v>
      </c>
      <c r="H160" s="45">
        <f t="array" ref="H160">INDEX('Data Collection'!$N$2:$Q$54,MATCH(A160,'Data Collection'!$A$2:$A$54,0),MATCH(B160,'Data Collection'!$N$2:$Q$2,0))</f>
        <v>30</v>
      </c>
      <c r="I160" s="45">
        <f t="array" ref="I160">INDEX('Data Collection'!$R$2:$U$54,MATCH(A160,'Data Collection'!$A$2:$A$54,0),MATCH(B160,'Data Collection'!$R$2:$U$2,0))</f>
        <v>50</v>
      </c>
      <c r="J160" s="45">
        <f t="shared" si="3"/>
        <v>36.666666666666664</v>
      </c>
    </row>
    <row r="161" spans="1:10">
      <c r="A161" s="8">
        <f t="array" ref="A161">INDEX('Data Collection'!$A$3:$A$54, INT((ROW()-2)/4)+1)</f>
        <v>40</v>
      </c>
      <c r="B161" s="8" t="str">
        <f t="shared" si="0"/>
        <v>VS-AS</v>
      </c>
      <c r="C161" s="8" t="str">
        <f t="shared" si="1"/>
        <v>Auditory</v>
      </c>
      <c r="D161" s="8" t="str">
        <f t="shared" si="2"/>
        <v>Spatial</v>
      </c>
      <c r="E161" s="8">
        <f t="array" ref="E161">INDEX('Data Collection'!$B$2:$E$54,MATCH(A161,'Data Collection'!$A$2:$A$54,0),MATCH(B161,'Data Collection'!$B$2:$E$2,0))</f>
        <v>53</v>
      </c>
      <c r="F161" s="44" t="str">
        <f t="array" aca="1" ref="F161" ca="1">IFERROR(_xludf.let(cell,INDEX('Data Collection'!$F$2:$I$54,MATCH(A161,'Data Collection'!$A$2:$A$54,0),MATCH(B161,'Data Collection'!$F$2:$I$2,0)),LEFT(cell, FIND("/", cell)-1) / MID(cell, FIND("/", cell)+1, LEN(cell))),"")</f>
        <v/>
      </c>
      <c r="G161" s="45">
        <f t="array" ref="G161">INDEX('Data Collection'!$J$2:$M$54,MATCH(A161,'Data Collection'!$A$2:$A$54,0),MATCH(B161,'Data Collection'!$J$2:$M$2,0))</f>
        <v>10</v>
      </c>
      <c r="H161" s="45">
        <f t="array" ref="H161">INDEX('Data Collection'!$N$2:$Q$54,MATCH(A161,'Data Collection'!$A$2:$A$54,0),MATCH(B161,'Data Collection'!$N$2:$Q$2,0))</f>
        <v>20</v>
      </c>
      <c r="I161" s="45">
        <f t="array" ref="I161">INDEX('Data Collection'!$R$2:$U$54,MATCH(A161,'Data Collection'!$A$2:$A$54,0),MATCH(B161,'Data Collection'!$R$2:$U$2,0))</f>
        <v>20</v>
      </c>
      <c r="J161" s="45">
        <f t="shared" si="3"/>
        <v>16.666666666666668</v>
      </c>
    </row>
    <row r="162" spans="1:10">
      <c r="A162" s="8">
        <f t="array" ref="A162">INDEX('Data Collection'!$A$3:$A$54, INT((ROW()-2)/4)+1)</f>
        <v>41</v>
      </c>
      <c r="B162" s="8" t="str">
        <f t="shared" si="0"/>
        <v>VS-VS</v>
      </c>
      <c r="C162" s="8" t="str">
        <f t="shared" si="1"/>
        <v>Visual</v>
      </c>
      <c r="D162" s="8" t="str">
        <f t="shared" si="2"/>
        <v>Spatial</v>
      </c>
      <c r="E162" s="8">
        <f t="array" ref="E162">INDEX('Data Collection'!$B$2:$E$54,MATCH(A162,'Data Collection'!$A$2:$A$54,0),MATCH(B162,'Data Collection'!$B$2:$E$2,0))</f>
        <v>0</v>
      </c>
      <c r="F162" s="44" t="str">
        <f t="array" aca="1" ref="F162" ca="1">IFERROR(_xludf.let(cell,INDEX('Data Collection'!$F$2:$I$54,MATCH(A162,'Data Collection'!$A$2:$A$54,0),MATCH(B162,'Data Collection'!$F$2:$I$2,0)),LEFT(cell, FIND("/", cell)-1) / MID(cell, FIND("/", cell)+1, LEN(cell))),"")</f>
        <v/>
      </c>
      <c r="G162" s="45"/>
      <c r="H162" s="45"/>
      <c r="I162" s="45"/>
      <c r="J162" s="45" t="str">
        <f t="shared" si="3"/>
        <v/>
      </c>
    </row>
    <row r="163" spans="1:10">
      <c r="A163" s="8">
        <f t="array" ref="A163">INDEX('Data Collection'!$A$3:$A$54, INT((ROW()-2)/4)+1)</f>
        <v>41</v>
      </c>
      <c r="B163" s="8" t="str">
        <f t="shared" si="0"/>
        <v>VS-VV</v>
      </c>
      <c r="C163" s="8" t="str">
        <f t="shared" si="1"/>
        <v>Visual</v>
      </c>
      <c r="D163" s="8" t="str">
        <f t="shared" si="2"/>
        <v>Verbal</v>
      </c>
      <c r="E163" s="8">
        <f t="array" ref="E163">INDEX('Data Collection'!$B$2:$E$54,MATCH(A163,'Data Collection'!$A$2:$A$54,0),MATCH(B163,'Data Collection'!$B$2:$E$2,0))</f>
        <v>0</v>
      </c>
      <c r="F163" s="44" t="str">
        <f t="array" aca="1" ref="F163" ca="1">IFERROR(_xludf.let(cell,INDEX('Data Collection'!$F$2:$I$54,MATCH(A163,'Data Collection'!$A$2:$A$54,0),MATCH(B163,'Data Collection'!$F$2:$I$2,0)),LEFT(cell, FIND("/", cell)-1) / MID(cell, FIND("/", cell)+1, LEN(cell))),"")</f>
        <v/>
      </c>
      <c r="G163" s="45"/>
      <c r="H163" s="45"/>
      <c r="I163" s="45"/>
      <c r="J163" s="45" t="str">
        <f t="shared" si="3"/>
        <v/>
      </c>
    </row>
    <row r="164" spans="1:10">
      <c r="A164" s="8">
        <f t="array" ref="A164">INDEX('Data Collection'!$A$3:$A$54, INT((ROW()-2)/4)+1)</f>
        <v>41</v>
      </c>
      <c r="B164" s="8" t="str">
        <f t="shared" si="0"/>
        <v>VS-AV</v>
      </c>
      <c r="C164" s="8" t="str">
        <f t="shared" si="1"/>
        <v>Auditory</v>
      </c>
      <c r="D164" s="8" t="str">
        <f t="shared" si="2"/>
        <v>Verbal</v>
      </c>
      <c r="E164" s="8">
        <f t="array" ref="E164">INDEX('Data Collection'!$B$2:$E$54,MATCH(A164,'Data Collection'!$A$2:$A$54,0),MATCH(B164,'Data Collection'!$B$2:$E$2,0))</f>
        <v>0</v>
      </c>
      <c r="F164" s="44" t="str">
        <f t="array" aca="1" ref="F164" ca="1">IFERROR(_xludf.let(cell,INDEX('Data Collection'!$F$2:$I$54,MATCH(A164,'Data Collection'!$A$2:$A$54,0),MATCH(B164,'Data Collection'!$F$2:$I$2,0)),LEFT(cell, FIND("/", cell)-1) / MID(cell, FIND("/", cell)+1, LEN(cell))),"")</f>
        <v/>
      </c>
      <c r="G164" s="45"/>
      <c r="H164" s="45"/>
      <c r="I164" s="45"/>
      <c r="J164" s="45" t="str">
        <f t="shared" si="3"/>
        <v/>
      </c>
    </row>
    <row r="165" spans="1:10">
      <c r="A165" s="8">
        <f t="array" ref="A165">INDEX('Data Collection'!$A$3:$A$54, INT((ROW()-2)/4)+1)</f>
        <v>41</v>
      </c>
      <c r="B165" s="8" t="str">
        <f t="shared" si="0"/>
        <v>VS-AS</v>
      </c>
      <c r="C165" s="8" t="str">
        <f t="shared" si="1"/>
        <v>Auditory</v>
      </c>
      <c r="D165" s="8" t="str">
        <f t="shared" si="2"/>
        <v>Spatial</v>
      </c>
      <c r="E165" s="8">
        <f t="array" ref="E165">INDEX('Data Collection'!$B$2:$E$54,MATCH(A165,'Data Collection'!$A$2:$A$54,0),MATCH(B165,'Data Collection'!$B$2:$E$2,0))</f>
        <v>0</v>
      </c>
      <c r="F165" s="44" t="str">
        <f t="array" aca="1" ref="F165" ca="1">IFERROR(_xludf.let(cell,INDEX('Data Collection'!$F$2:$I$54,MATCH(A165,'Data Collection'!$A$2:$A$54,0),MATCH(B165,'Data Collection'!$F$2:$I$2,0)),LEFT(cell, FIND("/", cell)-1) / MID(cell, FIND("/", cell)+1, LEN(cell))),"")</f>
        <v/>
      </c>
      <c r="G165" s="45"/>
      <c r="H165" s="45"/>
      <c r="I165" s="45"/>
      <c r="J165" s="45" t="str">
        <f t="shared" si="3"/>
        <v/>
      </c>
    </row>
    <row r="166" spans="1:10">
      <c r="A166" s="8">
        <f t="array" ref="A166">INDEX('Data Collection'!$A$3:$A$54, INT((ROW()-2)/4)+1)</f>
        <v>42</v>
      </c>
      <c r="B166" s="8" t="str">
        <f t="shared" si="0"/>
        <v>VS-VS</v>
      </c>
      <c r="C166" s="8" t="str">
        <f t="shared" si="1"/>
        <v>Visual</v>
      </c>
      <c r="D166" s="8" t="str">
        <f t="shared" si="2"/>
        <v>Spatial</v>
      </c>
      <c r="E166" s="8">
        <f t="array" ref="E166">INDEX('Data Collection'!$B$2:$E$54,MATCH(A166,'Data Collection'!$A$2:$A$54,0),MATCH(B166,'Data Collection'!$B$2:$E$2,0))</f>
        <v>0</v>
      </c>
      <c r="F166" s="44" t="str">
        <f t="array" aca="1" ref="F166" ca="1">IFERROR(_xludf.let(cell,INDEX('Data Collection'!$F$2:$I$54,MATCH(A166,'Data Collection'!$A$2:$A$54,0),MATCH(B166,'Data Collection'!$F$2:$I$2,0)),LEFT(cell, FIND("/", cell)-1) / MID(cell, FIND("/", cell)+1, LEN(cell))),"")</f>
        <v/>
      </c>
      <c r="G166" s="45"/>
      <c r="H166" s="45"/>
      <c r="I166" s="45"/>
      <c r="J166" s="45" t="str">
        <f t="shared" si="3"/>
        <v/>
      </c>
    </row>
    <row r="167" spans="1:10">
      <c r="A167" s="8">
        <f t="array" ref="A167">INDEX('Data Collection'!$A$3:$A$54, INT((ROW()-2)/4)+1)</f>
        <v>42</v>
      </c>
      <c r="B167" s="8" t="str">
        <f t="shared" si="0"/>
        <v>VS-VV</v>
      </c>
      <c r="C167" s="8" t="str">
        <f t="shared" si="1"/>
        <v>Visual</v>
      </c>
      <c r="D167" s="8" t="str">
        <f t="shared" si="2"/>
        <v>Verbal</v>
      </c>
      <c r="E167" s="8">
        <f t="array" ref="E167">INDEX('Data Collection'!$B$2:$E$54,MATCH(A167,'Data Collection'!$A$2:$A$54,0),MATCH(B167,'Data Collection'!$B$2:$E$2,0))</f>
        <v>0</v>
      </c>
      <c r="F167" s="44" t="str">
        <f t="array" aca="1" ref="F167" ca="1">IFERROR(_xludf.let(cell,INDEX('Data Collection'!$F$2:$I$54,MATCH(A167,'Data Collection'!$A$2:$A$54,0),MATCH(B167,'Data Collection'!$F$2:$I$2,0)),LEFT(cell, FIND("/", cell)-1) / MID(cell, FIND("/", cell)+1, LEN(cell))),"")</f>
        <v/>
      </c>
      <c r="G167" s="45"/>
      <c r="H167" s="45"/>
      <c r="I167" s="45"/>
      <c r="J167" s="45" t="str">
        <f t="shared" si="3"/>
        <v/>
      </c>
    </row>
    <row r="168" spans="1:10">
      <c r="A168" s="8">
        <f t="array" ref="A168">INDEX('Data Collection'!$A$3:$A$54, INT((ROW()-2)/4)+1)</f>
        <v>42</v>
      </c>
      <c r="B168" s="8" t="str">
        <f t="shared" si="0"/>
        <v>VS-AV</v>
      </c>
      <c r="C168" s="8" t="str">
        <f t="shared" si="1"/>
        <v>Auditory</v>
      </c>
      <c r="D168" s="8" t="str">
        <f t="shared" si="2"/>
        <v>Verbal</v>
      </c>
      <c r="E168" s="8">
        <f t="array" ref="E168">INDEX('Data Collection'!$B$2:$E$54,MATCH(A168,'Data Collection'!$A$2:$A$54,0),MATCH(B168,'Data Collection'!$B$2:$E$2,0))</f>
        <v>0</v>
      </c>
      <c r="F168" s="44" t="str">
        <f t="array" aca="1" ref="F168" ca="1">IFERROR(_xludf.let(cell,INDEX('Data Collection'!$F$2:$I$54,MATCH(A168,'Data Collection'!$A$2:$A$54,0),MATCH(B168,'Data Collection'!$F$2:$I$2,0)),LEFT(cell, FIND("/", cell)-1) / MID(cell, FIND("/", cell)+1, LEN(cell))),"")</f>
        <v/>
      </c>
      <c r="G168" s="45"/>
      <c r="H168" s="45"/>
      <c r="I168" s="45"/>
      <c r="J168" s="45" t="str">
        <f t="shared" si="3"/>
        <v/>
      </c>
    </row>
    <row r="169" spans="1:10">
      <c r="A169" s="8">
        <f t="array" ref="A169">INDEX('Data Collection'!$A$3:$A$54, INT((ROW()-2)/4)+1)</f>
        <v>42</v>
      </c>
      <c r="B169" s="8" t="str">
        <f t="shared" si="0"/>
        <v>VS-AS</v>
      </c>
      <c r="C169" s="8" t="str">
        <f t="shared" si="1"/>
        <v>Auditory</v>
      </c>
      <c r="D169" s="8" t="str">
        <f t="shared" si="2"/>
        <v>Spatial</v>
      </c>
      <c r="E169" s="8">
        <f t="array" ref="E169">INDEX('Data Collection'!$B$2:$E$54,MATCH(A169,'Data Collection'!$A$2:$A$54,0),MATCH(B169,'Data Collection'!$B$2:$E$2,0))</f>
        <v>0</v>
      </c>
      <c r="F169" s="44" t="str">
        <f t="array" aca="1" ref="F169" ca="1">IFERROR(_xludf.let(cell,INDEX('Data Collection'!$F$2:$I$54,MATCH(A169,'Data Collection'!$A$2:$A$54,0),MATCH(B169,'Data Collection'!$F$2:$I$2,0)),LEFT(cell, FIND("/", cell)-1) / MID(cell, FIND("/", cell)+1, LEN(cell))),"")</f>
        <v/>
      </c>
      <c r="G169" s="45"/>
      <c r="H169" s="45"/>
      <c r="I169" s="45"/>
      <c r="J169" s="45" t="str">
        <f t="shared" si="3"/>
        <v/>
      </c>
    </row>
    <row r="170" spans="1:10">
      <c r="A170" s="8">
        <f t="array" ref="A170">INDEX('Data Collection'!$A$3:$A$54, INT((ROW()-2)/4)+1)</f>
        <v>43</v>
      </c>
      <c r="B170" s="8" t="str">
        <f t="shared" si="0"/>
        <v>VS-VS</v>
      </c>
      <c r="C170" s="8" t="str">
        <f t="shared" si="1"/>
        <v>Visual</v>
      </c>
      <c r="D170" s="8" t="str">
        <f t="shared" si="2"/>
        <v>Spatial</v>
      </c>
      <c r="E170" s="8">
        <f t="array" ref="E170">INDEX('Data Collection'!$B$2:$E$54,MATCH(A170,'Data Collection'!$A$2:$A$54,0),MATCH(B170,'Data Collection'!$B$2:$E$2,0))</f>
        <v>0</v>
      </c>
      <c r="F170" s="44" t="str">
        <f t="array" aca="1" ref="F170" ca="1">IFERROR(_xludf.let(cell,INDEX('Data Collection'!$F$2:$I$54,MATCH(A170,'Data Collection'!$A$2:$A$54,0),MATCH(B170,'Data Collection'!$F$2:$I$2,0)),LEFT(cell, FIND("/", cell)-1) / MID(cell, FIND("/", cell)+1, LEN(cell))),"")</f>
        <v/>
      </c>
      <c r="G170" s="45"/>
      <c r="H170" s="45"/>
      <c r="I170" s="45"/>
      <c r="J170" s="45" t="str">
        <f t="shared" si="3"/>
        <v/>
      </c>
    </row>
    <row r="171" spans="1:10">
      <c r="A171" s="8">
        <f t="array" ref="A171">INDEX('Data Collection'!$A$3:$A$54, INT((ROW()-2)/4)+1)</f>
        <v>43</v>
      </c>
      <c r="B171" s="8" t="str">
        <f t="shared" si="0"/>
        <v>VS-VV</v>
      </c>
      <c r="C171" s="8" t="str">
        <f t="shared" si="1"/>
        <v>Visual</v>
      </c>
      <c r="D171" s="8" t="str">
        <f t="shared" si="2"/>
        <v>Verbal</v>
      </c>
      <c r="E171" s="8">
        <f t="array" ref="E171">INDEX('Data Collection'!$B$2:$E$54,MATCH(A171,'Data Collection'!$A$2:$A$54,0),MATCH(B171,'Data Collection'!$B$2:$E$2,0))</f>
        <v>0</v>
      </c>
      <c r="F171" s="44" t="str">
        <f t="array" aca="1" ref="F171" ca="1">IFERROR(_xludf.let(cell,INDEX('Data Collection'!$F$2:$I$54,MATCH(A171,'Data Collection'!$A$2:$A$54,0),MATCH(B171,'Data Collection'!$F$2:$I$2,0)),LEFT(cell, FIND("/", cell)-1) / MID(cell, FIND("/", cell)+1, LEN(cell))),"")</f>
        <v/>
      </c>
      <c r="G171" s="45"/>
      <c r="H171" s="45"/>
      <c r="I171" s="45"/>
      <c r="J171" s="45" t="str">
        <f t="shared" si="3"/>
        <v/>
      </c>
    </row>
    <row r="172" spans="1:10">
      <c r="A172" s="8">
        <f t="array" ref="A172">INDEX('Data Collection'!$A$3:$A$54, INT((ROW()-2)/4)+1)</f>
        <v>43</v>
      </c>
      <c r="B172" s="8" t="str">
        <f t="shared" si="0"/>
        <v>VS-AV</v>
      </c>
      <c r="C172" s="8" t="str">
        <f t="shared" si="1"/>
        <v>Auditory</v>
      </c>
      <c r="D172" s="8" t="str">
        <f t="shared" si="2"/>
        <v>Verbal</v>
      </c>
      <c r="E172" s="8">
        <f t="array" ref="E172">INDEX('Data Collection'!$B$2:$E$54,MATCH(A172,'Data Collection'!$A$2:$A$54,0),MATCH(B172,'Data Collection'!$B$2:$E$2,0))</f>
        <v>0</v>
      </c>
      <c r="F172" s="44" t="str">
        <f t="array" aca="1" ref="F172" ca="1">IFERROR(_xludf.let(cell,INDEX('Data Collection'!$F$2:$I$54,MATCH(A172,'Data Collection'!$A$2:$A$54,0),MATCH(B172,'Data Collection'!$F$2:$I$2,0)),LEFT(cell, FIND("/", cell)-1) / MID(cell, FIND("/", cell)+1, LEN(cell))),"")</f>
        <v/>
      </c>
      <c r="G172" s="45"/>
      <c r="H172" s="45"/>
      <c r="I172" s="45"/>
      <c r="J172" s="45" t="str">
        <f t="shared" si="3"/>
        <v/>
      </c>
    </row>
    <row r="173" spans="1:10">
      <c r="A173" s="8">
        <f t="array" ref="A173">INDEX('Data Collection'!$A$3:$A$54, INT((ROW()-2)/4)+1)</f>
        <v>43</v>
      </c>
      <c r="B173" s="8" t="str">
        <f t="shared" si="0"/>
        <v>VS-AS</v>
      </c>
      <c r="C173" s="8" t="str">
        <f t="shared" si="1"/>
        <v>Auditory</v>
      </c>
      <c r="D173" s="8" t="str">
        <f t="shared" si="2"/>
        <v>Spatial</v>
      </c>
      <c r="E173" s="8">
        <f t="array" ref="E173">INDEX('Data Collection'!$B$2:$E$54,MATCH(A173,'Data Collection'!$A$2:$A$54,0),MATCH(B173,'Data Collection'!$B$2:$E$2,0))</f>
        <v>0</v>
      </c>
      <c r="F173" s="44" t="str">
        <f t="array" aca="1" ref="F173" ca="1">IFERROR(_xludf.let(cell,INDEX('Data Collection'!$F$2:$I$54,MATCH(A173,'Data Collection'!$A$2:$A$54,0),MATCH(B173,'Data Collection'!$F$2:$I$2,0)),LEFT(cell, FIND("/", cell)-1) / MID(cell, FIND("/", cell)+1, LEN(cell))),"")</f>
        <v/>
      </c>
      <c r="G173" s="45"/>
      <c r="H173" s="45"/>
      <c r="I173" s="45"/>
      <c r="J173" s="45" t="str">
        <f t="shared" si="3"/>
        <v/>
      </c>
    </row>
    <row r="174" spans="1:10">
      <c r="A174" s="8">
        <f t="array" ref="A174">INDEX('Data Collection'!$A$3:$A$54, INT((ROW()-2)/4)+1)</f>
        <v>44</v>
      </c>
      <c r="B174" s="8" t="str">
        <f t="shared" si="0"/>
        <v>VS-VS</v>
      </c>
      <c r="C174" s="8" t="str">
        <f t="shared" si="1"/>
        <v>Visual</v>
      </c>
      <c r="D174" s="8" t="str">
        <f t="shared" si="2"/>
        <v>Spatial</v>
      </c>
      <c r="E174" s="8">
        <f t="array" ref="E174">INDEX('Data Collection'!$B$2:$E$54,MATCH(A174,'Data Collection'!$A$2:$A$54,0),MATCH(B174,'Data Collection'!$B$2:$E$2,0))</f>
        <v>0</v>
      </c>
      <c r="F174" s="44" t="str">
        <f t="array" aca="1" ref="F174" ca="1">IFERROR(_xludf.let(cell,INDEX('Data Collection'!$F$2:$I$54,MATCH(A174,'Data Collection'!$A$2:$A$54,0),MATCH(B174,'Data Collection'!$F$2:$I$2,0)),LEFT(cell, FIND("/", cell)-1) / MID(cell, FIND("/", cell)+1, LEN(cell))),"")</f>
        <v/>
      </c>
      <c r="G174" s="45"/>
      <c r="H174" s="45"/>
      <c r="I174" s="45"/>
      <c r="J174" s="45" t="str">
        <f t="shared" si="3"/>
        <v/>
      </c>
    </row>
    <row r="175" spans="1:10">
      <c r="A175" s="8">
        <f t="array" ref="A175">INDEX('Data Collection'!$A$3:$A$54, INT((ROW()-2)/4)+1)</f>
        <v>44</v>
      </c>
      <c r="B175" s="8" t="str">
        <f t="shared" si="0"/>
        <v>VS-VV</v>
      </c>
      <c r="C175" s="8" t="str">
        <f t="shared" si="1"/>
        <v>Visual</v>
      </c>
      <c r="D175" s="8" t="str">
        <f t="shared" si="2"/>
        <v>Verbal</v>
      </c>
      <c r="E175" s="8">
        <f t="array" ref="E175">INDEX('Data Collection'!$B$2:$E$54,MATCH(A175,'Data Collection'!$A$2:$A$54,0),MATCH(B175,'Data Collection'!$B$2:$E$2,0))</f>
        <v>0</v>
      </c>
      <c r="F175" s="44" t="str">
        <f t="array" aca="1" ref="F175" ca="1">IFERROR(_xludf.let(cell,INDEX('Data Collection'!$F$2:$I$54,MATCH(A175,'Data Collection'!$A$2:$A$54,0),MATCH(B175,'Data Collection'!$F$2:$I$2,0)),LEFT(cell, FIND("/", cell)-1) / MID(cell, FIND("/", cell)+1, LEN(cell))),"")</f>
        <v/>
      </c>
      <c r="G175" s="45"/>
      <c r="H175" s="45"/>
      <c r="I175" s="45"/>
      <c r="J175" s="45" t="str">
        <f t="shared" si="3"/>
        <v/>
      </c>
    </row>
    <row r="176" spans="1:10">
      <c r="A176" s="8">
        <f t="array" ref="A176">INDEX('Data Collection'!$A$3:$A$54, INT((ROW()-2)/4)+1)</f>
        <v>44</v>
      </c>
      <c r="B176" s="8" t="str">
        <f t="shared" si="0"/>
        <v>VS-AV</v>
      </c>
      <c r="C176" s="8" t="str">
        <f t="shared" si="1"/>
        <v>Auditory</v>
      </c>
      <c r="D176" s="8" t="str">
        <f t="shared" si="2"/>
        <v>Verbal</v>
      </c>
      <c r="E176" s="8">
        <f t="array" ref="E176">INDEX('Data Collection'!$B$2:$E$54,MATCH(A176,'Data Collection'!$A$2:$A$54,0),MATCH(B176,'Data Collection'!$B$2:$E$2,0))</f>
        <v>0</v>
      </c>
      <c r="F176" s="44" t="str">
        <f t="array" aca="1" ref="F176" ca="1">IFERROR(_xludf.let(cell,INDEX('Data Collection'!$F$2:$I$54,MATCH(A176,'Data Collection'!$A$2:$A$54,0),MATCH(B176,'Data Collection'!$F$2:$I$2,0)),LEFT(cell, FIND("/", cell)-1) / MID(cell, FIND("/", cell)+1, LEN(cell))),"")</f>
        <v/>
      </c>
      <c r="G176" s="45"/>
      <c r="H176" s="45"/>
      <c r="I176" s="45"/>
      <c r="J176" s="45" t="str">
        <f t="shared" si="3"/>
        <v/>
      </c>
    </row>
    <row r="177" spans="1:10">
      <c r="A177" s="8">
        <f t="array" ref="A177">INDEX('Data Collection'!$A$3:$A$54, INT((ROW()-2)/4)+1)</f>
        <v>44</v>
      </c>
      <c r="B177" s="8" t="str">
        <f t="shared" si="0"/>
        <v>VS-AS</v>
      </c>
      <c r="C177" s="8" t="str">
        <f t="shared" si="1"/>
        <v>Auditory</v>
      </c>
      <c r="D177" s="8" t="str">
        <f t="shared" si="2"/>
        <v>Spatial</v>
      </c>
      <c r="E177" s="8">
        <f t="array" ref="E177">INDEX('Data Collection'!$B$2:$E$54,MATCH(A177,'Data Collection'!$A$2:$A$54,0),MATCH(B177,'Data Collection'!$B$2:$E$2,0))</f>
        <v>0</v>
      </c>
      <c r="F177" s="44" t="str">
        <f t="array" aca="1" ref="F177" ca="1">IFERROR(_xludf.let(cell,INDEX('Data Collection'!$F$2:$I$54,MATCH(A177,'Data Collection'!$A$2:$A$54,0),MATCH(B177,'Data Collection'!$F$2:$I$2,0)),LEFT(cell, FIND("/", cell)-1) / MID(cell, FIND("/", cell)+1, LEN(cell))),"")</f>
        <v/>
      </c>
      <c r="G177" s="45"/>
      <c r="H177" s="45"/>
      <c r="I177" s="45"/>
      <c r="J177" s="45" t="str">
        <f t="shared" si="3"/>
        <v/>
      </c>
    </row>
    <row r="178" spans="1:10">
      <c r="A178" s="8">
        <f t="array" ref="A178">INDEX('Data Collection'!$A$3:$A$54, INT((ROW()-2)/4)+1)</f>
        <v>45</v>
      </c>
      <c r="B178" s="8" t="str">
        <f t="shared" si="0"/>
        <v>VS-VS</v>
      </c>
      <c r="C178" s="8" t="str">
        <f t="shared" si="1"/>
        <v>Visual</v>
      </c>
      <c r="D178" s="8" t="str">
        <f t="shared" si="2"/>
        <v>Spatial</v>
      </c>
      <c r="E178" s="8">
        <f t="array" ref="E178">INDEX('Data Collection'!$B$2:$E$54,MATCH(A178,'Data Collection'!$A$2:$A$54,0),MATCH(B178,'Data Collection'!$B$2:$E$2,0))</f>
        <v>0</v>
      </c>
      <c r="F178" s="44" t="str">
        <f t="array" aca="1" ref="F178" ca="1">IFERROR(_xludf.let(cell,INDEX('Data Collection'!$F$2:$I$54,MATCH(A178,'Data Collection'!$A$2:$A$54,0),MATCH(B178,'Data Collection'!$F$2:$I$2,0)),LEFT(cell, FIND("/", cell)-1) / MID(cell, FIND("/", cell)+1, LEN(cell))),"")</f>
        <v/>
      </c>
      <c r="G178" s="45"/>
      <c r="H178" s="45"/>
      <c r="I178" s="45"/>
      <c r="J178" s="45" t="str">
        <f t="shared" si="3"/>
        <v/>
      </c>
    </row>
    <row r="179" spans="1:10">
      <c r="A179" s="8">
        <f t="array" ref="A179">INDEX('Data Collection'!$A$3:$A$54, INT((ROW()-2)/4)+1)</f>
        <v>45</v>
      </c>
      <c r="B179" s="8" t="str">
        <f t="shared" si="0"/>
        <v>VS-VV</v>
      </c>
      <c r="C179" s="8" t="str">
        <f t="shared" si="1"/>
        <v>Visual</v>
      </c>
      <c r="D179" s="8" t="str">
        <f t="shared" si="2"/>
        <v>Verbal</v>
      </c>
      <c r="E179" s="8">
        <f t="array" ref="E179">INDEX('Data Collection'!$B$2:$E$54,MATCH(A179,'Data Collection'!$A$2:$A$54,0),MATCH(B179,'Data Collection'!$B$2:$E$2,0))</f>
        <v>0</v>
      </c>
      <c r="F179" s="44" t="str">
        <f t="array" aca="1" ref="F179" ca="1">IFERROR(_xludf.let(cell,INDEX('Data Collection'!$F$2:$I$54,MATCH(A179,'Data Collection'!$A$2:$A$54,0),MATCH(B179,'Data Collection'!$F$2:$I$2,0)),LEFT(cell, FIND("/", cell)-1) / MID(cell, FIND("/", cell)+1, LEN(cell))),"")</f>
        <v/>
      </c>
      <c r="G179" s="45"/>
      <c r="H179" s="45"/>
      <c r="I179" s="45"/>
      <c r="J179" s="45" t="str">
        <f t="shared" si="3"/>
        <v/>
      </c>
    </row>
    <row r="180" spans="1:10">
      <c r="A180" s="8">
        <f t="array" ref="A180">INDEX('Data Collection'!$A$3:$A$54, INT((ROW()-2)/4)+1)</f>
        <v>45</v>
      </c>
      <c r="B180" s="8" t="str">
        <f t="shared" si="0"/>
        <v>VS-AV</v>
      </c>
      <c r="C180" s="8" t="str">
        <f t="shared" si="1"/>
        <v>Auditory</v>
      </c>
      <c r="D180" s="8" t="str">
        <f t="shared" si="2"/>
        <v>Verbal</v>
      </c>
      <c r="E180" s="8">
        <f t="array" ref="E180">INDEX('Data Collection'!$B$2:$E$54,MATCH(A180,'Data Collection'!$A$2:$A$54,0),MATCH(B180,'Data Collection'!$B$2:$E$2,0))</f>
        <v>0</v>
      </c>
      <c r="F180" s="44" t="str">
        <f t="array" aca="1" ref="F180" ca="1">IFERROR(_xludf.let(cell,INDEX('Data Collection'!$F$2:$I$54,MATCH(A180,'Data Collection'!$A$2:$A$54,0),MATCH(B180,'Data Collection'!$F$2:$I$2,0)),LEFT(cell, FIND("/", cell)-1) / MID(cell, FIND("/", cell)+1, LEN(cell))),"")</f>
        <v/>
      </c>
      <c r="G180" s="45"/>
      <c r="H180" s="45"/>
      <c r="I180" s="45"/>
      <c r="J180" s="45" t="str">
        <f t="shared" si="3"/>
        <v/>
      </c>
    </row>
    <row r="181" spans="1:10">
      <c r="A181" s="8">
        <f t="array" ref="A181">INDEX('Data Collection'!$A$3:$A$54, INT((ROW()-2)/4)+1)</f>
        <v>45</v>
      </c>
      <c r="B181" s="8" t="str">
        <f t="shared" si="0"/>
        <v>VS-AS</v>
      </c>
      <c r="C181" s="8" t="str">
        <f t="shared" si="1"/>
        <v>Auditory</v>
      </c>
      <c r="D181" s="8" t="str">
        <f t="shared" si="2"/>
        <v>Spatial</v>
      </c>
      <c r="E181" s="8">
        <f t="array" ref="E181">INDEX('Data Collection'!$B$2:$E$54,MATCH(A181,'Data Collection'!$A$2:$A$54,0),MATCH(B181,'Data Collection'!$B$2:$E$2,0))</f>
        <v>0</v>
      </c>
      <c r="F181" s="44" t="str">
        <f t="array" aca="1" ref="F181" ca="1">IFERROR(_xludf.let(cell,INDEX('Data Collection'!$F$2:$I$54,MATCH(A181,'Data Collection'!$A$2:$A$54,0),MATCH(B181,'Data Collection'!$F$2:$I$2,0)),LEFT(cell, FIND("/", cell)-1) / MID(cell, FIND("/", cell)+1, LEN(cell))),"")</f>
        <v/>
      </c>
      <c r="G181" s="45"/>
      <c r="H181" s="45"/>
      <c r="I181" s="45"/>
      <c r="J181" s="45" t="str">
        <f t="shared" si="3"/>
        <v/>
      </c>
    </row>
    <row r="182" spans="1:10">
      <c r="A182" s="8">
        <f t="array" ref="A182">INDEX('Data Collection'!$A$3:$A$54, INT((ROW()-2)/4)+1)</f>
        <v>46</v>
      </c>
      <c r="B182" s="8" t="str">
        <f t="shared" si="0"/>
        <v>VS-VS</v>
      </c>
      <c r="C182" s="8" t="str">
        <f t="shared" si="1"/>
        <v>Visual</v>
      </c>
      <c r="D182" s="8" t="str">
        <f t="shared" si="2"/>
        <v>Spatial</v>
      </c>
      <c r="E182" s="8">
        <f t="array" ref="E182">INDEX('Data Collection'!$B$2:$E$54,MATCH(A182,'Data Collection'!$A$2:$A$54,0),MATCH(B182,'Data Collection'!$B$2:$E$2,0))</f>
        <v>0</v>
      </c>
      <c r="F182" s="44" t="str">
        <f t="array" aca="1" ref="F182" ca="1">IFERROR(_xludf.let(cell,INDEX('Data Collection'!$F$2:$I$54,MATCH(A182,'Data Collection'!$A$2:$A$54,0),MATCH(B182,'Data Collection'!$F$2:$I$2,0)),LEFT(cell, FIND("/", cell)-1) / MID(cell, FIND("/", cell)+1, LEN(cell))),"")</f>
        <v/>
      </c>
      <c r="G182" s="45"/>
      <c r="H182" s="45"/>
      <c r="I182" s="45"/>
      <c r="J182" s="45" t="str">
        <f t="shared" si="3"/>
        <v/>
      </c>
    </row>
    <row r="183" spans="1:10">
      <c r="A183" s="8">
        <f t="array" ref="A183">INDEX('Data Collection'!$A$3:$A$54, INT((ROW()-2)/4)+1)</f>
        <v>46</v>
      </c>
      <c r="B183" s="8" t="str">
        <f t="shared" si="0"/>
        <v>VS-VV</v>
      </c>
      <c r="C183" s="8" t="str">
        <f t="shared" si="1"/>
        <v>Visual</v>
      </c>
      <c r="D183" s="8" t="str">
        <f t="shared" si="2"/>
        <v>Verbal</v>
      </c>
      <c r="E183" s="8">
        <f t="array" ref="E183">INDEX('Data Collection'!$B$2:$E$54,MATCH(A183,'Data Collection'!$A$2:$A$54,0),MATCH(B183,'Data Collection'!$B$2:$E$2,0))</f>
        <v>0</v>
      </c>
      <c r="F183" s="44" t="str">
        <f t="array" aca="1" ref="F183" ca="1">IFERROR(_xludf.let(cell,INDEX('Data Collection'!$F$2:$I$54,MATCH(A183,'Data Collection'!$A$2:$A$54,0),MATCH(B183,'Data Collection'!$F$2:$I$2,0)),LEFT(cell, FIND("/", cell)-1) / MID(cell, FIND("/", cell)+1, LEN(cell))),"")</f>
        <v/>
      </c>
      <c r="G183" s="45"/>
      <c r="H183" s="45"/>
      <c r="I183" s="45"/>
      <c r="J183" s="45" t="str">
        <f t="shared" si="3"/>
        <v/>
      </c>
    </row>
    <row r="184" spans="1:10">
      <c r="A184" s="8">
        <f t="array" ref="A184">INDEX('Data Collection'!$A$3:$A$54, INT((ROW()-2)/4)+1)</f>
        <v>46</v>
      </c>
      <c r="B184" s="8" t="str">
        <f t="shared" si="0"/>
        <v>VS-AV</v>
      </c>
      <c r="C184" s="8" t="str">
        <f t="shared" si="1"/>
        <v>Auditory</v>
      </c>
      <c r="D184" s="8" t="str">
        <f t="shared" si="2"/>
        <v>Verbal</v>
      </c>
      <c r="E184" s="8">
        <f t="array" ref="E184">INDEX('Data Collection'!$B$2:$E$54,MATCH(A184,'Data Collection'!$A$2:$A$54,0),MATCH(B184,'Data Collection'!$B$2:$E$2,0))</f>
        <v>0</v>
      </c>
      <c r="F184" s="44" t="str">
        <f t="array" aca="1" ref="F184" ca="1">IFERROR(_xludf.let(cell,INDEX('Data Collection'!$F$2:$I$54,MATCH(A184,'Data Collection'!$A$2:$A$54,0),MATCH(B184,'Data Collection'!$F$2:$I$2,0)),LEFT(cell, FIND("/", cell)-1) / MID(cell, FIND("/", cell)+1, LEN(cell))),"")</f>
        <v/>
      </c>
      <c r="G184" s="45"/>
      <c r="H184" s="45"/>
      <c r="I184" s="45"/>
      <c r="J184" s="45" t="str">
        <f t="shared" si="3"/>
        <v/>
      </c>
    </row>
    <row r="185" spans="1:10">
      <c r="A185" s="8">
        <f t="array" ref="A185">INDEX('Data Collection'!$A$3:$A$54, INT((ROW()-2)/4)+1)</f>
        <v>46</v>
      </c>
      <c r="B185" s="8" t="str">
        <f t="shared" si="0"/>
        <v>VS-AS</v>
      </c>
      <c r="C185" s="8" t="str">
        <f t="shared" si="1"/>
        <v>Auditory</v>
      </c>
      <c r="D185" s="8" t="str">
        <f t="shared" si="2"/>
        <v>Spatial</v>
      </c>
      <c r="E185" s="8">
        <f t="array" ref="E185">INDEX('Data Collection'!$B$2:$E$54,MATCH(A185,'Data Collection'!$A$2:$A$54,0),MATCH(B185,'Data Collection'!$B$2:$E$2,0))</f>
        <v>0</v>
      </c>
      <c r="F185" s="44" t="str">
        <f t="array" aca="1" ref="F185" ca="1">IFERROR(_xludf.let(cell,INDEX('Data Collection'!$F$2:$I$54,MATCH(A185,'Data Collection'!$A$2:$A$54,0),MATCH(B185,'Data Collection'!$F$2:$I$2,0)),LEFT(cell, FIND("/", cell)-1) / MID(cell, FIND("/", cell)+1, LEN(cell))),"")</f>
        <v/>
      </c>
      <c r="G185" s="45"/>
      <c r="H185" s="45"/>
      <c r="I185" s="45"/>
      <c r="J185" s="45" t="str">
        <f t="shared" si="3"/>
        <v/>
      </c>
    </row>
    <row r="186" spans="1:10">
      <c r="A186" s="8">
        <f t="array" ref="A186">INDEX('Data Collection'!$A$3:$A$54, INT((ROW()-2)/4)+1)</f>
        <v>47</v>
      </c>
      <c r="B186" s="8" t="str">
        <f t="shared" si="0"/>
        <v>VS-VS</v>
      </c>
      <c r="C186" s="8" t="str">
        <f t="shared" si="1"/>
        <v>Visual</v>
      </c>
      <c r="D186" s="8" t="str">
        <f t="shared" si="2"/>
        <v>Spatial</v>
      </c>
      <c r="E186" s="8">
        <f t="array" ref="E186">INDEX('Data Collection'!$B$2:$E$54,MATCH(A186,'Data Collection'!$A$2:$A$54,0),MATCH(B186,'Data Collection'!$B$2:$E$2,0))</f>
        <v>0</v>
      </c>
      <c r="F186" s="44" t="str">
        <f t="array" aca="1" ref="F186" ca="1">IFERROR(_xludf.let(cell,INDEX('Data Collection'!$F$2:$I$54,MATCH(A186,'Data Collection'!$A$2:$A$54,0),MATCH(B186,'Data Collection'!$F$2:$I$2,0)),LEFT(cell, FIND("/", cell)-1) / MID(cell, FIND("/", cell)+1, LEN(cell))),"")</f>
        <v/>
      </c>
      <c r="G186" s="45"/>
      <c r="H186" s="45"/>
      <c r="I186" s="45"/>
      <c r="J186" s="45" t="str">
        <f t="shared" si="3"/>
        <v/>
      </c>
    </row>
    <row r="187" spans="1:10">
      <c r="A187" s="8">
        <f t="array" ref="A187">INDEX('Data Collection'!$A$3:$A$54, INT((ROW()-2)/4)+1)</f>
        <v>47</v>
      </c>
      <c r="B187" s="8" t="str">
        <f t="shared" si="0"/>
        <v>VS-VV</v>
      </c>
      <c r="C187" s="8" t="str">
        <f t="shared" si="1"/>
        <v>Visual</v>
      </c>
      <c r="D187" s="8" t="str">
        <f t="shared" si="2"/>
        <v>Verbal</v>
      </c>
      <c r="E187" s="8">
        <f t="array" ref="E187">INDEX('Data Collection'!$B$2:$E$54,MATCH(A187,'Data Collection'!$A$2:$A$54,0),MATCH(B187,'Data Collection'!$B$2:$E$2,0))</f>
        <v>0</v>
      </c>
      <c r="F187" s="44" t="str">
        <f t="array" aca="1" ref="F187" ca="1">IFERROR(_xludf.let(cell,INDEX('Data Collection'!$F$2:$I$54,MATCH(A187,'Data Collection'!$A$2:$A$54,0),MATCH(B187,'Data Collection'!$F$2:$I$2,0)),LEFT(cell, FIND("/", cell)-1) / MID(cell, FIND("/", cell)+1, LEN(cell))),"")</f>
        <v/>
      </c>
      <c r="G187" s="45"/>
      <c r="H187" s="45"/>
      <c r="I187" s="45"/>
      <c r="J187" s="45" t="str">
        <f t="shared" si="3"/>
        <v/>
      </c>
    </row>
    <row r="188" spans="1:10">
      <c r="A188" s="8">
        <f t="array" ref="A188">INDEX('Data Collection'!$A$3:$A$54, INT((ROW()-2)/4)+1)</f>
        <v>47</v>
      </c>
      <c r="B188" s="8" t="str">
        <f t="shared" si="0"/>
        <v>VS-AV</v>
      </c>
      <c r="C188" s="8" t="str">
        <f t="shared" si="1"/>
        <v>Auditory</v>
      </c>
      <c r="D188" s="8" t="str">
        <f t="shared" si="2"/>
        <v>Verbal</v>
      </c>
      <c r="E188" s="8">
        <f t="array" ref="E188">INDEX('Data Collection'!$B$2:$E$54,MATCH(A188,'Data Collection'!$A$2:$A$54,0),MATCH(B188,'Data Collection'!$B$2:$E$2,0))</f>
        <v>0</v>
      </c>
      <c r="F188" s="44" t="str">
        <f t="array" aca="1" ref="F188" ca="1">IFERROR(_xludf.let(cell,INDEX('Data Collection'!$F$2:$I$54,MATCH(A188,'Data Collection'!$A$2:$A$54,0),MATCH(B188,'Data Collection'!$F$2:$I$2,0)),LEFT(cell, FIND("/", cell)-1) / MID(cell, FIND("/", cell)+1, LEN(cell))),"")</f>
        <v/>
      </c>
      <c r="G188" s="45"/>
      <c r="H188" s="45"/>
      <c r="I188" s="45"/>
      <c r="J188" s="45" t="str">
        <f t="shared" si="3"/>
        <v/>
      </c>
    </row>
    <row r="189" spans="1:10">
      <c r="A189" s="8">
        <f t="array" ref="A189">INDEX('Data Collection'!$A$3:$A$54, INT((ROW()-2)/4)+1)</f>
        <v>47</v>
      </c>
      <c r="B189" s="8" t="str">
        <f t="shared" si="0"/>
        <v>VS-AS</v>
      </c>
      <c r="C189" s="8" t="str">
        <f t="shared" si="1"/>
        <v>Auditory</v>
      </c>
      <c r="D189" s="8" t="str">
        <f t="shared" si="2"/>
        <v>Spatial</v>
      </c>
      <c r="E189" s="8">
        <f t="array" ref="E189">INDEX('Data Collection'!$B$2:$E$54,MATCH(A189,'Data Collection'!$A$2:$A$54,0),MATCH(B189,'Data Collection'!$B$2:$E$2,0))</f>
        <v>0</v>
      </c>
      <c r="F189" s="44" t="str">
        <f t="array" aca="1" ref="F189" ca="1">IFERROR(_xludf.let(cell,INDEX('Data Collection'!$F$2:$I$54,MATCH(A189,'Data Collection'!$A$2:$A$54,0),MATCH(B189,'Data Collection'!$F$2:$I$2,0)),LEFT(cell, FIND("/", cell)-1) / MID(cell, FIND("/", cell)+1, LEN(cell))),"")</f>
        <v/>
      </c>
      <c r="G189" s="45"/>
      <c r="H189" s="45"/>
      <c r="I189" s="45"/>
      <c r="J189" s="45" t="str">
        <f t="shared" si="3"/>
        <v/>
      </c>
    </row>
    <row r="190" spans="1:10">
      <c r="A190" s="8">
        <f t="array" ref="A190">INDEX('Data Collection'!$A$3:$A$54, INT((ROW()-2)/4)+1)</f>
        <v>48</v>
      </c>
      <c r="B190" s="8" t="str">
        <f t="shared" si="0"/>
        <v>VS-VS</v>
      </c>
      <c r="C190" s="8" t="str">
        <f t="shared" si="1"/>
        <v>Visual</v>
      </c>
      <c r="D190" s="8" t="str">
        <f t="shared" si="2"/>
        <v>Spatial</v>
      </c>
      <c r="E190" s="8">
        <f t="array" ref="E190">INDEX('Data Collection'!$B$2:$E$54,MATCH(A190,'Data Collection'!$A$2:$A$54,0),MATCH(B190,'Data Collection'!$B$2:$E$2,0))</f>
        <v>0</v>
      </c>
      <c r="F190" s="44" t="str">
        <f t="array" aca="1" ref="F190" ca="1">IFERROR(_xludf.let(cell,INDEX('Data Collection'!$F$2:$I$54,MATCH(A190,'Data Collection'!$A$2:$A$54,0),MATCH(B190,'Data Collection'!$F$2:$I$2,0)),LEFT(cell, FIND("/", cell)-1) / MID(cell, FIND("/", cell)+1, LEN(cell))),"")</f>
        <v/>
      </c>
      <c r="G190" s="45"/>
      <c r="H190" s="45"/>
      <c r="I190" s="45"/>
      <c r="J190" s="45" t="str">
        <f t="shared" si="3"/>
        <v/>
      </c>
    </row>
    <row r="191" spans="1:10">
      <c r="A191" s="8">
        <f t="array" ref="A191">INDEX('Data Collection'!$A$3:$A$54, INT((ROW()-2)/4)+1)</f>
        <v>48</v>
      </c>
      <c r="B191" s="8" t="str">
        <f t="shared" si="0"/>
        <v>VS-VV</v>
      </c>
      <c r="C191" s="8" t="str">
        <f t="shared" si="1"/>
        <v>Visual</v>
      </c>
      <c r="D191" s="8" t="str">
        <f t="shared" si="2"/>
        <v>Verbal</v>
      </c>
      <c r="E191" s="8">
        <f t="array" ref="E191">INDEX('Data Collection'!$B$2:$E$54,MATCH(A191,'Data Collection'!$A$2:$A$54,0),MATCH(B191,'Data Collection'!$B$2:$E$2,0))</f>
        <v>0</v>
      </c>
      <c r="F191" s="44" t="str">
        <f t="array" aca="1" ref="F191" ca="1">IFERROR(_xludf.let(cell,INDEX('Data Collection'!$F$2:$I$54,MATCH(A191,'Data Collection'!$A$2:$A$54,0),MATCH(B191,'Data Collection'!$F$2:$I$2,0)),LEFT(cell, FIND("/", cell)-1) / MID(cell, FIND("/", cell)+1, LEN(cell))),"")</f>
        <v/>
      </c>
      <c r="G191" s="45"/>
      <c r="H191" s="45"/>
      <c r="I191" s="45"/>
      <c r="J191" s="45" t="str">
        <f t="shared" si="3"/>
        <v/>
      </c>
    </row>
    <row r="192" spans="1:10">
      <c r="A192" s="8">
        <f t="array" ref="A192">INDEX('Data Collection'!$A$3:$A$54, INT((ROW()-2)/4)+1)</f>
        <v>48</v>
      </c>
      <c r="B192" s="8" t="str">
        <f t="shared" si="0"/>
        <v>VS-AV</v>
      </c>
      <c r="C192" s="8" t="str">
        <f t="shared" si="1"/>
        <v>Auditory</v>
      </c>
      <c r="D192" s="8" t="str">
        <f t="shared" si="2"/>
        <v>Verbal</v>
      </c>
      <c r="E192" s="8">
        <f t="array" ref="E192">INDEX('Data Collection'!$B$2:$E$54,MATCH(A192,'Data Collection'!$A$2:$A$54,0),MATCH(B192,'Data Collection'!$B$2:$E$2,0))</f>
        <v>0</v>
      </c>
      <c r="F192" s="44" t="str">
        <f t="array" aca="1" ref="F192" ca="1">IFERROR(_xludf.let(cell,INDEX('Data Collection'!$F$2:$I$54,MATCH(A192,'Data Collection'!$A$2:$A$54,0),MATCH(B192,'Data Collection'!$F$2:$I$2,0)),LEFT(cell, FIND("/", cell)-1) / MID(cell, FIND("/", cell)+1, LEN(cell))),"")</f>
        <v/>
      </c>
      <c r="G192" s="45"/>
      <c r="H192" s="45"/>
      <c r="I192" s="45"/>
      <c r="J192" s="45" t="str">
        <f t="shared" si="3"/>
        <v/>
      </c>
    </row>
    <row r="193" spans="1:10">
      <c r="A193" s="8">
        <f t="array" ref="A193">INDEX('Data Collection'!$A$3:$A$54, INT((ROW()-2)/4)+1)</f>
        <v>48</v>
      </c>
      <c r="B193" s="8" t="str">
        <f t="shared" si="0"/>
        <v>VS-AS</v>
      </c>
      <c r="C193" s="8" t="str">
        <f t="shared" si="1"/>
        <v>Auditory</v>
      </c>
      <c r="D193" s="8" t="str">
        <f t="shared" si="2"/>
        <v>Spatial</v>
      </c>
      <c r="E193" s="8">
        <f t="array" ref="E193">INDEX('Data Collection'!$B$2:$E$54,MATCH(A193,'Data Collection'!$A$2:$A$54,0),MATCH(B193,'Data Collection'!$B$2:$E$2,0))</f>
        <v>0</v>
      </c>
      <c r="F193" s="44" t="str">
        <f t="array" aca="1" ref="F193" ca="1">IFERROR(_xludf.let(cell,INDEX('Data Collection'!$F$2:$I$54,MATCH(A193,'Data Collection'!$A$2:$A$54,0),MATCH(B193,'Data Collection'!$F$2:$I$2,0)),LEFT(cell, FIND("/", cell)-1) / MID(cell, FIND("/", cell)+1, LEN(cell))),"")</f>
        <v/>
      </c>
      <c r="G193" s="45"/>
      <c r="H193" s="45"/>
      <c r="I193" s="45"/>
      <c r="J193" s="45" t="str">
        <f t="shared" si="3"/>
        <v/>
      </c>
    </row>
    <row r="194" spans="1:10">
      <c r="A194" s="8">
        <f t="array" ref="A194">INDEX('Data Collection'!$A$3:$A$54, INT((ROW()-2)/4)+1)</f>
        <v>49</v>
      </c>
      <c r="B194" s="8" t="str">
        <f t="shared" si="0"/>
        <v>VS-VS</v>
      </c>
      <c r="C194" s="8" t="str">
        <f t="shared" si="1"/>
        <v>Visual</v>
      </c>
      <c r="D194" s="8" t="str">
        <f t="shared" si="2"/>
        <v>Spatial</v>
      </c>
      <c r="E194" s="8">
        <f t="array" ref="E194">INDEX('Data Collection'!$B$2:$E$54,MATCH(A194,'Data Collection'!$A$2:$A$54,0),MATCH(B194,'Data Collection'!$B$2:$E$2,0))</f>
        <v>0</v>
      </c>
      <c r="F194" s="44" t="str">
        <f t="array" aca="1" ref="F194" ca="1">IFERROR(_xludf.let(cell,INDEX('Data Collection'!$F$2:$I$54,MATCH(A194,'Data Collection'!$A$2:$A$54,0),MATCH(B194,'Data Collection'!$F$2:$I$2,0)),LEFT(cell, FIND("/", cell)-1) / MID(cell, FIND("/", cell)+1, LEN(cell))),"")</f>
        <v/>
      </c>
      <c r="G194" s="45"/>
      <c r="H194" s="45"/>
      <c r="I194" s="45"/>
      <c r="J194" s="45" t="str">
        <f t="shared" si="3"/>
        <v/>
      </c>
    </row>
    <row r="195" spans="1:10">
      <c r="A195" s="8">
        <f t="array" ref="A195">INDEX('Data Collection'!$A$3:$A$54, INT((ROW()-2)/4)+1)</f>
        <v>49</v>
      </c>
      <c r="B195" s="8" t="str">
        <f t="shared" si="0"/>
        <v>VS-VV</v>
      </c>
      <c r="C195" s="8" t="str">
        <f t="shared" si="1"/>
        <v>Visual</v>
      </c>
      <c r="D195" s="8" t="str">
        <f t="shared" si="2"/>
        <v>Verbal</v>
      </c>
      <c r="E195" s="8">
        <f t="array" ref="E195">INDEX('Data Collection'!$B$2:$E$54,MATCH(A195,'Data Collection'!$A$2:$A$54,0),MATCH(B195,'Data Collection'!$B$2:$E$2,0))</f>
        <v>0</v>
      </c>
      <c r="F195" s="44" t="str">
        <f t="array" aca="1" ref="F195" ca="1">IFERROR(_xludf.let(cell,INDEX('Data Collection'!$F$2:$I$54,MATCH(A195,'Data Collection'!$A$2:$A$54,0),MATCH(B195,'Data Collection'!$F$2:$I$2,0)),LEFT(cell, FIND("/", cell)-1) / MID(cell, FIND("/", cell)+1, LEN(cell))),"")</f>
        <v/>
      </c>
      <c r="G195" s="45"/>
      <c r="H195" s="45"/>
      <c r="I195" s="45"/>
      <c r="J195" s="45" t="str">
        <f t="shared" si="3"/>
        <v/>
      </c>
    </row>
    <row r="196" spans="1:10">
      <c r="A196" s="8">
        <f t="array" ref="A196">INDEX('Data Collection'!$A$3:$A$54, INT((ROW()-2)/4)+1)</f>
        <v>49</v>
      </c>
      <c r="B196" s="8" t="str">
        <f t="shared" si="0"/>
        <v>VS-AV</v>
      </c>
      <c r="C196" s="8" t="str">
        <f t="shared" si="1"/>
        <v>Auditory</v>
      </c>
      <c r="D196" s="8" t="str">
        <f t="shared" si="2"/>
        <v>Verbal</v>
      </c>
      <c r="E196" s="8">
        <f t="array" ref="E196">INDEX('Data Collection'!$B$2:$E$54,MATCH(A196,'Data Collection'!$A$2:$A$54,0),MATCH(B196,'Data Collection'!$B$2:$E$2,0))</f>
        <v>0</v>
      </c>
      <c r="F196" s="44" t="str">
        <f t="array" aca="1" ref="F196" ca="1">IFERROR(_xludf.let(cell,INDEX('Data Collection'!$F$2:$I$54,MATCH(A196,'Data Collection'!$A$2:$A$54,0),MATCH(B196,'Data Collection'!$F$2:$I$2,0)),LEFT(cell, FIND("/", cell)-1) / MID(cell, FIND("/", cell)+1, LEN(cell))),"")</f>
        <v/>
      </c>
      <c r="G196" s="45"/>
      <c r="H196" s="45"/>
      <c r="I196" s="45"/>
      <c r="J196" s="45" t="str">
        <f t="shared" si="3"/>
        <v/>
      </c>
    </row>
    <row r="197" spans="1:10">
      <c r="A197" s="8">
        <f t="array" ref="A197">INDEX('Data Collection'!$A$3:$A$54, INT((ROW()-2)/4)+1)</f>
        <v>49</v>
      </c>
      <c r="B197" s="8" t="str">
        <f t="shared" si="0"/>
        <v>VS-AS</v>
      </c>
      <c r="C197" s="8" t="str">
        <f t="shared" si="1"/>
        <v>Auditory</v>
      </c>
      <c r="D197" s="8" t="str">
        <f t="shared" si="2"/>
        <v>Spatial</v>
      </c>
      <c r="E197" s="8">
        <f t="array" ref="E197">INDEX('Data Collection'!$B$2:$E$54,MATCH(A197,'Data Collection'!$A$2:$A$54,0),MATCH(B197,'Data Collection'!$B$2:$E$2,0))</f>
        <v>0</v>
      </c>
      <c r="F197" s="44" t="str">
        <f t="array" aca="1" ref="F197" ca="1">IFERROR(_xludf.let(cell,INDEX('Data Collection'!$F$2:$I$54,MATCH(A197,'Data Collection'!$A$2:$A$54,0),MATCH(B197,'Data Collection'!$F$2:$I$2,0)),LEFT(cell, FIND("/", cell)-1) / MID(cell, FIND("/", cell)+1, LEN(cell))),"")</f>
        <v/>
      </c>
      <c r="G197" s="45"/>
      <c r="H197" s="45"/>
      <c r="I197" s="45"/>
      <c r="J197" s="45" t="str">
        <f t="shared" si="3"/>
        <v/>
      </c>
    </row>
    <row r="198" spans="1:10">
      <c r="A198" s="8">
        <f t="array" ref="A198">INDEX('Data Collection'!$A$3:$A$54, INT((ROW()-2)/4)+1)</f>
        <v>50</v>
      </c>
      <c r="B198" s="8" t="str">
        <f t="shared" si="0"/>
        <v>VS-VS</v>
      </c>
      <c r="C198" s="8" t="str">
        <f t="shared" si="1"/>
        <v>Visual</v>
      </c>
      <c r="D198" s="8" t="str">
        <f t="shared" si="2"/>
        <v>Spatial</v>
      </c>
      <c r="E198" s="8">
        <f t="array" ref="E198">INDEX('Data Collection'!$B$2:$E$54,MATCH(A198,'Data Collection'!$A$2:$A$54,0),MATCH(B198,'Data Collection'!$B$2:$E$2,0))</f>
        <v>0</v>
      </c>
      <c r="F198" s="44" t="str">
        <f t="array" aca="1" ref="F198" ca="1">IFERROR(_xludf.let(cell,INDEX('Data Collection'!$F$2:$I$54,MATCH(A198,'Data Collection'!$A$2:$A$54,0),MATCH(B198,'Data Collection'!$F$2:$I$2,0)),LEFT(cell, FIND("/", cell)-1) / MID(cell, FIND("/", cell)+1, LEN(cell))),"")</f>
        <v/>
      </c>
      <c r="G198" s="45"/>
      <c r="H198" s="45"/>
      <c r="I198" s="45"/>
      <c r="J198" s="45" t="str">
        <f t="shared" si="3"/>
        <v/>
      </c>
    </row>
    <row r="199" spans="1:10">
      <c r="A199" s="8">
        <f t="array" ref="A199">INDEX('Data Collection'!$A$3:$A$54, INT((ROW()-2)/4)+1)</f>
        <v>50</v>
      </c>
      <c r="B199" s="8" t="str">
        <f t="shared" si="0"/>
        <v>VS-VV</v>
      </c>
      <c r="C199" s="8" t="str">
        <f t="shared" si="1"/>
        <v>Visual</v>
      </c>
      <c r="D199" s="8" t="str">
        <f t="shared" si="2"/>
        <v>Verbal</v>
      </c>
      <c r="E199" s="8">
        <f t="array" ref="E199">INDEX('Data Collection'!$B$2:$E$54,MATCH(A199,'Data Collection'!$A$2:$A$54,0),MATCH(B199,'Data Collection'!$B$2:$E$2,0))</f>
        <v>0</v>
      </c>
      <c r="F199" s="44" t="str">
        <f t="array" aca="1" ref="F199" ca="1">IFERROR(_xludf.let(cell,INDEX('Data Collection'!$F$2:$I$54,MATCH(A199,'Data Collection'!$A$2:$A$54,0),MATCH(B199,'Data Collection'!$F$2:$I$2,0)),LEFT(cell, FIND("/", cell)-1) / MID(cell, FIND("/", cell)+1, LEN(cell))),"")</f>
        <v/>
      </c>
      <c r="G199" s="45"/>
      <c r="H199" s="45"/>
      <c r="I199" s="45"/>
      <c r="J199" s="45" t="str">
        <f t="shared" si="3"/>
        <v/>
      </c>
    </row>
    <row r="200" spans="1:10">
      <c r="A200" s="8">
        <f t="array" ref="A200">INDEX('Data Collection'!$A$3:$A$54, INT((ROW()-2)/4)+1)</f>
        <v>50</v>
      </c>
      <c r="B200" s="8" t="str">
        <f t="shared" si="0"/>
        <v>VS-AV</v>
      </c>
      <c r="C200" s="8" t="str">
        <f t="shared" si="1"/>
        <v>Auditory</v>
      </c>
      <c r="D200" s="8" t="str">
        <f t="shared" si="2"/>
        <v>Verbal</v>
      </c>
      <c r="E200" s="8">
        <f t="array" ref="E200">INDEX('Data Collection'!$B$2:$E$54,MATCH(A200,'Data Collection'!$A$2:$A$54,0),MATCH(B200,'Data Collection'!$B$2:$E$2,0))</f>
        <v>0</v>
      </c>
      <c r="F200" s="44" t="str">
        <f t="array" aca="1" ref="F200" ca="1">IFERROR(_xludf.let(cell,INDEX('Data Collection'!$F$2:$I$54,MATCH(A200,'Data Collection'!$A$2:$A$54,0),MATCH(B200,'Data Collection'!$F$2:$I$2,0)),LEFT(cell, FIND("/", cell)-1) / MID(cell, FIND("/", cell)+1, LEN(cell))),"")</f>
        <v/>
      </c>
      <c r="G200" s="45"/>
      <c r="H200" s="45"/>
      <c r="I200" s="45"/>
      <c r="J200" s="45" t="str">
        <f t="shared" si="3"/>
        <v/>
      </c>
    </row>
    <row r="201" spans="1:10">
      <c r="A201" s="8">
        <f t="array" ref="A201">INDEX('Data Collection'!$A$3:$A$54, INT((ROW()-2)/4)+1)</f>
        <v>50</v>
      </c>
      <c r="B201" s="8" t="str">
        <f t="shared" si="0"/>
        <v>VS-AS</v>
      </c>
      <c r="C201" s="8" t="str">
        <f t="shared" si="1"/>
        <v>Auditory</v>
      </c>
      <c r="D201" s="8" t="str">
        <f t="shared" si="2"/>
        <v>Spatial</v>
      </c>
      <c r="E201" s="8">
        <f t="array" ref="E201">INDEX('Data Collection'!$B$2:$E$54,MATCH(A201,'Data Collection'!$A$2:$A$54,0),MATCH(B201,'Data Collection'!$B$2:$E$2,0))</f>
        <v>0</v>
      </c>
      <c r="F201" s="44" t="str">
        <f t="array" aca="1" ref="F201" ca="1">IFERROR(_xludf.let(cell,INDEX('Data Collection'!$F$2:$I$54,MATCH(A201,'Data Collection'!$A$2:$A$54,0),MATCH(B201,'Data Collection'!$F$2:$I$2,0)),LEFT(cell, FIND("/", cell)-1) / MID(cell, FIND("/", cell)+1, LEN(cell))),"")</f>
        <v/>
      </c>
      <c r="G201" s="45"/>
      <c r="H201" s="45"/>
      <c r="I201" s="45"/>
      <c r="J201" s="45" t="str">
        <f t="shared" si="3"/>
        <v/>
      </c>
    </row>
  </sheetData>
  <mergeCells count="1">
    <mergeCell ref="M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1"/>
  <sheetViews>
    <sheetView workbookViewId="0"/>
  </sheetViews>
  <sheetFormatPr defaultColWidth="12.6640625" defaultRowHeight="15.75" customHeight="1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1" t="s">
        <v>29</v>
      </c>
      <c r="I1" s="52"/>
      <c r="J1" s="52"/>
      <c r="K1" s="52"/>
      <c r="L1" s="52"/>
      <c r="M1" s="52"/>
    </row>
    <row r="2" spans="1:13">
      <c r="A2" s="43">
        <v>1</v>
      </c>
      <c r="B2" s="46">
        <f ca="1">MAX(NORMINV(RAND(),'Collected Data'!I$4,'Collected Data'!I$5),0)</f>
        <v>21.009250255491306</v>
      </c>
      <c r="C2" s="46">
        <f ca="1">MAX(NORMINV(RAND(),'Collected Data'!J$4,'Collected Data'!J$5),0)</f>
        <v>145.19433837362072</v>
      </c>
      <c r="D2" s="46">
        <f ca="1">MAX(NORMINV(RAND(),'Collected Data'!K$4,'Collected Data'!K$5),0)</f>
        <v>40.115023540457088</v>
      </c>
      <c r="E2" s="46">
        <f ca="1">MAX(NORMINV(RAND(),'Collected Data'!L$4,'Collected Data'!L$5),0)</f>
        <v>101.68153296047436</v>
      </c>
      <c r="F2" s="46">
        <f ca="1">MAX(NORMINV(RAND(),'Collected Data'!M$4,'Collected Data'!M$5),0)</f>
        <v>106.37444103297167</v>
      </c>
      <c r="H2" s="52"/>
      <c r="I2" s="52"/>
      <c r="J2" s="52"/>
      <c r="K2" s="52"/>
      <c r="L2" s="52"/>
      <c r="M2" s="52"/>
    </row>
    <row r="3" spans="1:13">
      <c r="A3" s="43">
        <v>2</v>
      </c>
      <c r="B3" s="46">
        <f ca="1">MAX(NORMINV(RAND(),'Collected Data'!I$4,'Collected Data'!I$5),0)</f>
        <v>11.325913783123404</v>
      </c>
      <c r="C3" s="46">
        <f ca="1">MAX(NORMINV(RAND(),'Collected Data'!J$4,'Collected Data'!J$5),0)</f>
        <v>59.449663034288321</v>
      </c>
      <c r="D3" s="46">
        <f ca="1">MAX(NORMINV(RAND(),'Collected Data'!K$4,'Collected Data'!K$5),0)</f>
        <v>167.60109765694838</v>
      </c>
      <c r="E3" s="46">
        <f ca="1">MAX(NORMINV(RAND(),'Collected Data'!L$4,'Collected Data'!L$5),0)</f>
        <v>103.40036191939048</v>
      </c>
      <c r="F3" s="46">
        <f ca="1">MAX(NORMINV(RAND(),'Collected Data'!M$4,'Collected Data'!M$5),0)</f>
        <v>63.542680366477583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</row>
    <row r="4" spans="1:13">
      <c r="A4" s="43">
        <v>3</v>
      </c>
      <c r="B4" s="46">
        <f ca="1">MAX(NORMINV(RAND(),'Collected Data'!I$4,'Collected Data'!I$5),0)</f>
        <v>27.443268450047057</v>
      </c>
      <c r="C4" s="46">
        <f ca="1">MAX(NORMINV(RAND(),'Collected Data'!J$4,'Collected Data'!J$5),0)</f>
        <v>82.696292433717971</v>
      </c>
      <c r="D4" s="46">
        <f ca="1">MAX(NORMINV(RAND(),'Collected Data'!K$4,'Collected Data'!K$5),0)</f>
        <v>194.19586024877566</v>
      </c>
      <c r="E4" s="46">
        <f ca="1">MAX(NORMINV(RAND(),'Collected Data'!L$4,'Collected Data'!L$5),0)</f>
        <v>83.30159331152251</v>
      </c>
      <c r="F4" s="46">
        <f ca="1">MAX(NORMINV(RAND(),'Collected Data'!M$4,'Collected Data'!M$5),0)</f>
        <v>84.742654613650245</v>
      </c>
      <c r="H4" s="6" t="s">
        <v>7</v>
      </c>
      <c r="I4" s="7">
        <f t="shared" ref="I4:M4" ca="1" si="0">AVERAGE(B2:B101)</f>
        <v>17.020699141712072</v>
      </c>
      <c r="J4" s="7">
        <f t="shared" ca="1" si="0"/>
        <v>93.206750199983759</v>
      </c>
      <c r="K4" s="7">
        <f t="shared" ca="1" si="0"/>
        <v>97.683043641786185</v>
      </c>
      <c r="L4" s="7">
        <f t="shared" ca="1" si="0"/>
        <v>88.646019424196197</v>
      </c>
      <c r="M4" s="7">
        <f t="shared" ca="1" si="0"/>
        <v>92.12482835133352</v>
      </c>
    </row>
    <row r="5" spans="1:13">
      <c r="A5" s="43">
        <v>4</v>
      </c>
      <c r="B5" s="46">
        <f ca="1">MAX(NORMINV(RAND(),'Collected Data'!I$4,'Collected Data'!I$5),0)</f>
        <v>8.3598632212757931</v>
      </c>
      <c r="C5" s="46">
        <f ca="1">MAX(NORMINV(RAND(),'Collected Data'!J$4,'Collected Data'!J$5),0)</f>
        <v>64.460923480275341</v>
      </c>
      <c r="D5" s="46">
        <f ca="1">MAX(NORMINV(RAND(),'Collected Data'!K$4,'Collected Data'!K$5),0)</f>
        <v>126.7489453685679</v>
      </c>
      <c r="E5" s="46">
        <f ca="1">MAX(NORMINV(RAND(),'Collected Data'!L$4,'Collected Data'!L$5),0)</f>
        <v>92.958635412207215</v>
      </c>
      <c r="F5" s="46">
        <f ca="1">MAX(NORMINV(RAND(),'Collected Data'!M$4,'Collected Data'!M$5),0)</f>
        <v>97.168484123054398</v>
      </c>
      <c r="H5" s="6" t="s">
        <v>8</v>
      </c>
      <c r="I5" s="7">
        <f t="shared" ref="I5:M5" ca="1" si="1">STDEV(B2:B101)</f>
        <v>7.8787876475980063</v>
      </c>
      <c r="J5" s="7">
        <f t="shared" ca="1" si="1"/>
        <v>33.101050507293941</v>
      </c>
      <c r="K5" s="7">
        <f t="shared" ca="1" si="1"/>
        <v>57.131580326074449</v>
      </c>
      <c r="L5" s="7">
        <f t="shared" ca="1" si="1"/>
        <v>49.315298669519045</v>
      </c>
      <c r="M5" s="7">
        <f t="shared" ca="1" si="1"/>
        <v>41.091694869904522</v>
      </c>
    </row>
    <row r="6" spans="1:13">
      <c r="A6" s="43">
        <v>5</v>
      </c>
      <c r="B6" s="46">
        <f ca="1">MAX(NORMINV(RAND(),'Collected Data'!I$4,'Collected Data'!I$5),0)</f>
        <v>20.34206321348557</v>
      </c>
      <c r="C6" s="46">
        <f ca="1">MAX(NORMINV(RAND(),'Collected Data'!J$4,'Collected Data'!J$5),0)</f>
        <v>105.35486647479971</v>
      </c>
      <c r="D6" s="46">
        <f ca="1">MAX(NORMINV(RAND(),'Collected Data'!K$4,'Collected Data'!K$5),0)</f>
        <v>75.637480568974524</v>
      </c>
      <c r="E6" s="46">
        <f ca="1">MAX(NORMINV(RAND(),'Collected Data'!L$4,'Collected Data'!L$5),0)</f>
        <v>126.32064380241357</v>
      </c>
      <c r="F6" s="46">
        <f ca="1">MAX(NORMINV(RAND(),'Collected Data'!M$4,'Collected Data'!M$5),0)</f>
        <v>61.214232519680124</v>
      </c>
      <c r="H6" s="6" t="s">
        <v>9</v>
      </c>
      <c r="I6" s="7">
        <f t="shared" ref="I6:M6" ca="1" si="2">PERCENTILE(B2:B101,0.25)</f>
        <v>11.873031320798468</v>
      </c>
      <c r="J6" s="7">
        <f t="shared" ca="1" si="2"/>
        <v>72.987504077626383</v>
      </c>
      <c r="K6" s="7">
        <f t="shared" ca="1" si="2"/>
        <v>52.920097698313924</v>
      </c>
      <c r="L6" s="7">
        <f t="shared" ca="1" si="2"/>
        <v>59.510924212171503</v>
      </c>
      <c r="M6" s="7">
        <f t="shared" ca="1" si="2"/>
        <v>65.039719443517555</v>
      </c>
    </row>
    <row r="7" spans="1:13">
      <c r="A7" s="43">
        <v>6</v>
      </c>
      <c r="B7" s="46">
        <f ca="1">MAX(NORMINV(RAND(),'Collected Data'!I$4,'Collected Data'!I$5),0)</f>
        <v>19.031079567488767</v>
      </c>
      <c r="C7" s="46">
        <f ca="1">MAX(NORMINV(RAND(),'Collected Data'!J$4,'Collected Data'!J$5),0)</f>
        <v>92.492068541721565</v>
      </c>
      <c r="D7" s="46">
        <f ca="1">MAX(NORMINV(RAND(),'Collected Data'!K$4,'Collected Data'!K$5),0)</f>
        <v>64.817633478520861</v>
      </c>
      <c r="E7" s="46">
        <f ca="1">MAX(NORMINV(RAND(),'Collected Data'!L$4,'Collected Data'!L$5),0)</f>
        <v>62.822133603151329</v>
      </c>
      <c r="F7" s="46">
        <f ca="1">MAX(NORMINV(RAND(),'Collected Data'!M$4,'Collected Data'!M$5),0)</f>
        <v>10.761637249496857</v>
      </c>
      <c r="H7" s="6" t="s">
        <v>10</v>
      </c>
      <c r="I7" s="7">
        <f t="shared" ref="I7:M7" ca="1" si="3">MEDIAN(B2:B101)</f>
        <v>17.299350566112047</v>
      </c>
      <c r="J7" s="7">
        <f t="shared" ca="1" si="3"/>
        <v>92.53426360465447</v>
      </c>
      <c r="K7" s="7">
        <f t="shared" ca="1" si="3"/>
        <v>89.06525927936778</v>
      </c>
      <c r="L7" s="7">
        <f t="shared" ca="1" si="3"/>
        <v>89.265546558125408</v>
      </c>
      <c r="M7" s="7">
        <f t="shared" ca="1" si="3"/>
        <v>93.062693912853845</v>
      </c>
    </row>
    <row r="8" spans="1:13">
      <c r="A8" s="43">
        <v>7</v>
      </c>
      <c r="B8" s="46">
        <f ca="1">MAX(NORMINV(RAND(),'Collected Data'!I$4,'Collected Data'!I$5),0)</f>
        <v>24.541553187202929</v>
      </c>
      <c r="C8" s="46">
        <f ca="1">MAX(NORMINV(RAND(),'Collected Data'!J$4,'Collected Data'!J$5),0)</f>
        <v>109.41005505937329</v>
      </c>
      <c r="D8" s="46">
        <f ca="1">MAX(NORMINV(RAND(),'Collected Data'!K$4,'Collected Data'!K$5),0)</f>
        <v>48.258339516745714</v>
      </c>
      <c r="E8" s="46">
        <f ca="1">MAX(NORMINV(RAND(),'Collected Data'!L$4,'Collected Data'!L$5),0)</f>
        <v>115.45707450231983</v>
      </c>
      <c r="F8" s="46">
        <f ca="1">MAX(NORMINV(RAND(),'Collected Data'!M$4,'Collected Data'!M$5),0)</f>
        <v>51.683257782822473</v>
      </c>
      <c r="H8" s="6" t="s">
        <v>11</v>
      </c>
      <c r="I8" s="7">
        <f t="shared" ref="I8:M8" ca="1" si="4">PERCENTILE(B2:B101,0.75)</f>
        <v>20.846566777297305</v>
      </c>
      <c r="J8" s="7">
        <f t="shared" ca="1" si="4"/>
        <v>112.53918845842345</v>
      </c>
      <c r="K8" s="7">
        <f t="shared" ca="1" si="4"/>
        <v>140.8313062605952</v>
      </c>
      <c r="L8" s="7">
        <f t="shared" ca="1" si="4"/>
        <v>120.34839005340639</v>
      </c>
      <c r="M8" s="7">
        <f t="shared" ca="1" si="4"/>
        <v>120.76312588682858</v>
      </c>
    </row>
    <row r="9" spans="1:13">
      <c r="A9" s="43">
        <v>8</v>
      </c>
      <c r="B9" s="46">
        <f ca="1">MAX(NORMINV(RAND(),'Collected Data'!I$4,'Collected Data'!I$5),0)</f>
        <v>14.556990126110911</v>
      </c>
      <c r="C9" s="46">
        <f ca="1">MAX(NORMINV(RAND(),'Collected Data'!J$4,'Collected Data'!J$5),0)</f>
        <v>100.23497444301104</v>
      </c>
      <c r="D9" s="46">
        <f ca="1">MAX(NORMINV(RAND(),'Collected Data'!K$4,'Collected Data'!K$5),0)</f>
        <v>160.59736428166545</v>
      </c>
      <c r="E9" s="46">
        <f ca="1">MAX(NORMINV(RAND(),'Collected Data'!L$4,'Collected Data'!L$5),0)</f>
        <v>128.08726747282205</v>
      </c>
      <c r="F9" s="46">
        <f ca="1">MAX(NORMINV(RAND(),'Collected Data'!M$4,'Collected Data'!M$5),0)</f>
        <v>89.455684829471593</v>
      </c>
      <c r="H9" s="6" t="s">
        <v>12</v>
      </c>
      <c r="I9" s="7">
        <f t="shared" ref="I9:M9" ca="1" si="5">I8-I6</f>
        <v>8.973535456498837</v>
      </c>
      <c r="J9" s="7">
        <f t="shared" ca="1" si="5"/>
        <v>39.55168438079707</v>
      </c>
      <c r="K9" s="7">
        <f t="shared" ca="1" si="5"/>
        <v>87.911208562281274</v>
      </c>
      <c r="L9" s="7">
        <f t="shared" ca="1" si="5"/>
        <v>60.837465841234888</v>
      </c>
      <c r="M9" s="7">
        <f t="shared" ca="1" si="5"/>
        <v>55.723406443311021</v>
      </c>
    </row>
    <row r="10" spans="1:13">
      <c r="A10" s="43">
        <v>9</v>
      </c>
      <c r="B10" s="46">
        <f ca="1">MAX(NORMINV(RAND(),'Collected Data'!I$4,'Collected Data'!I$5),0)</f>
        <v>18.026916299239009</v>
      </c>
      <c r="C10" s="46">
        <f ca="1">MAX(NORMINV(RAND(),'Collected Data'!J$4,'Collected Data'!J$5),0)</f>
        <v>107.93659270466443</v>
      </c>
      <c r="D10" s="46">
        <f ca="1">MAX(NORMINV(RAND(),'Collected Data'!K$4,'Collected Data'!K$5),0)</f>
        <v>39.108677942131457</v>
      </c>
      <c r="E10" s="46">
        <f ca="1">MAX(NORMINV(RAND(),'Collected Data'!L$4,'Collected Data'!L$5),0)</f>
        <v>76.142777556380196</v>
      </c>
      <c r="F10" s="46">
        <f ca="1">MAX(NORMINV(RAND(),'Collected Data'!M$4,'Collected Data'!M$5),0)</f>
        <v>28.448349665820139</v>
      </c>
      <c r="H10" s="6" t="s">
        <v>13</v>
      </c>
      <c r="I10" s="7">
        <f t="shared" ref="I10:M10" ca="1" si="6">MIN(B2:B101)</f>
        <v>0</v>
      </c>
      <c r="J10" s="7">
        <f t="shared" ca="1" si="6"/>
        <v>0</v>
      </c>
      <c r="K10" s="7">
        <f t="shared" ca="1" si="6"/>
        <v>0</v>
      </c>
      <c r="L10" s="7">
        <f t="shared" ca="1" si="6"/>
        <v>0</v>
      </c>
      <c r="M10" s="7">
        <f t="shared" ca="1" si="6"/>
        <v>0.18933406357693627</v>
      </c>
    </row>
    <row r="11" spans="1:13">
      <c r="A11" s="43">
        <v>10</v>
      </c>
      <c r="B11" s="46">
        <f ca="1">MAX(NORMINV(RAND(),'Collected Data'!I$4,'Collected Data'!I$5),0)</f>
        <v>13.449411955656506</v>
      </c>
      <c r="C11" s="46">
        <f ca="1">MAX(NORMINV(RAND(),'Collected Data'!J$4,'Collected Data'!J$5),0)</f>
        <v>27.549806531366542</v>
      </c>
      <c r="D11" s="46">
        <f ca="1">MAX(NORMINV(RAND(),'Collected Data'!K$4,'Collected Data'!K$5),0)</f>
        <v>54.649523875129468</v>
      </c>
      <c r="E11" s="46">
        <f ca="1">MAX(NORMINV(RAND(),'Collected Data'!L$4,'Collected Data'!L$5),0)</f>
        <v>126.12027257568869</v>
      </c>
      <c r="F11" s="46">
        <f ca="1">MAX(NORMINV(RAND(),'Collected Data'!M$4,'Collected Data'!M$5),0)</f>
        <v>83.892227276825579</v>
      </c>
      <c r="H11" s="6" t="s">
        <v>14</v>
      </c>
      <c r="I11" s="7">
        <f t="shared" ref="I11:M11" ca="1" si="7">MAX(B2:B101)</f>
        <v>36.112389422019774</v>
      </c>
      <c r="J11" s="7">
        <f t="shared" ca="1" si="7"/>
        <v>170.90536411845417</v>
      </c>
      <c r="K11" s="7">
        <f t="shared" ca="1" si="7"/>
        <v>226.72456186736486</v>
      </c>
      <c r="L11" s="7">
        <f t="shared" ca="1" si="7"/>
        <v>241.43375332888138</v>
      </c>
      <c r="M11" s="7">
        <f t="shared" ca="1" si="7"/>
        <v>186.71381080057142</v>
      </c>
    </row>
    <row r="12" spans="1:13">
      <c r="A12" s="43">
        <v>11</v>
      </c>
      <c r="B12" s="46">
        <f ca="1">MAX(NORMINV(RAND(),'Collected Data'!I$4,'Collected Data'!I$5),0)</f>
        <v>20.537063557935038</v>
      </c>
      <c r="C12" s="46">
        <f ca="1">MAX(NORMINV(RAND(),'Collected Data'!J$4,'Collected Data'!J$5),0)</f>
        <v>126.79064526679983</v>
      </c>
      <c r="D12" s="46">
        <f ca="1">MAX(NORMINV(RAND(),'Collected Data'!K$4,'Collected Data'!K$5),0)</f>
        <v>91.960472177609006</v>
      </c>
      <c r="E12" s="46">
        <f ca="1">MAX(NORMINV(RAND(),'Collected Data'!L$4,'Collected Data'!L$5),0)</f>
        <v>33.743572177945317</v>
      </c>
      <c r="F12" s="46">
        <f ca="1">MAX(NORMINV(RAND(),'Collected Data'!M$4,'Collected Data'!M$5),0)</f>
        <v>184.72987964277709</v>
      </c>
      <c r="H12" s="6" t="s">
        <v>15</v>
      </c>
      <c r="I12" s="7">
        <f t="shared" ref="I12:M12" ca="1" si="8">VAR(B2:B101)</f>
        <v>62.075294795942924</v>
      </c>
      <c r="J12" s="7">
        <f t="shared" ca="1" si="8"/>
        <v>1095.6795446864244</v>
      </c>
      <c r="K12" s="7">
        <f t="shared" ca="1" si="8"/>
        <v>3264.017470554697</v>
      </c>
      <c r="L12" s="7">
        <f t="shared" ca="1" si="8"/>
        <v>2431.9986828638671</v>
      </c>
      <c r="M12" s="7">
        <f t="shared" ca="1" si="8"/>
        <v>1688.5273872813377</v>
      </c>
    </row>
    <row r="13" spans="1:13">
      <c r="A13" s="43">
        <v>12</v>
      </c>
      <c r="B13" s="46">
        <f ca="1">MAX(NORMINV(RAND(),'Collected Data'!I$4,'Collected Data'!I$5),0)</f>
        <v>20.464719871419845</v>
      </c>
      <c r="C13" s="46">
        <f ca="1">MAX(NORMINV(RAND(),'Collected Data'!J$4,'Collected Data'!J$5),0)</f>
        <v>0</v>
      </c>
      <c r="D13" s="46">
        <f ca="1">MAX(NORMINV(RAND(),'Collected Data'!K$4,'Collected Data'!K$5),0)</f>
        <v>20.124718522586676</v>
      </c>
      <c r="E13" s="46">
        <f ca="1">MAX(NORMINV(RAND(),'Collected Data'!L$4,'Collected Data'!L$5),0)</f>
        <v>159.75006065533239</v>
      </c>
      <c r="F13" s="46">
        <f ca="1">MAX(NORMINV(RAND(),'Collected Data'!M$4,'Collected Data'!M$5),0)</f>
        <v>9.2944714326484075</v>
      </c>
    </row>
    <row r="14" spans="1:13">
      <c r="A14" s="43">
        <v>13</v>
      </c>
      <c r="B14" s="46">
        <f ca="1">MAX(NORMINV(RAND(),'Collected Data'!I$4,'Collected Data'!I$5),0)</f>
        <v>20.164725744970781</v>
      </c>
      <c r="C14" s="46">
        <f ca="1">MAX(NORMINV(RAND(),'Collected Data'!J$4,'Collected Data'!J$5),0)</f>
        <v>145.21863981292927</v>
      </c>
      <c r="D14" s="46">
        <f ca="1">MAX(NORMINV(RAND(),'Collected Data'!K$4,'Collected Data'!K$5),0)</f>
        <v>54.577604955411097</v>
      </c>
      <c r="E14" s="46">
        <f ca="1">MAX(NORMINV(RAND(),'Collected Data'!L$4,'Collected Data'!L$5),0)</f>
        <v>241.43375332888138</v>
      </c>
      <c r="F14" s="46">
        <f ca="1">MAX(NORMINV(RAND(),'Collected Data'!M$4,'Collected Data'!M$5),0)</f>
        <v>130.27196001600561</v>
      </c>
      <c r="I14" s="1"/>
      <c r="J14" s="1" t="s">
        <v>2</v>
      </c>
      <c r="K14" s="1" t="s">
        <v>3</v>
      </c>
      <c r="L14" s="1" t="s">
        <v>4</v>
      </c>
      <c r="M14" s="1" t="s">
        <v>5</v>
      </c>
    </row>
    <row r="15" spans="1:13">
      <c r="A15" s="43">
        <v>14</v>
      </c>
      <c r="B15" s="46">
        <f ca="1">MAX(NORMINV(RAND(),'Collected Data'!I$4,'Collected Data'!I$5),0)</f>
        <v>16.491011916443231</v>
      </c>
      <c r="C15" s="46">
        <f ca="1">MAX(NORMINV(RAND(),'Collected Data'!J$4,'Collected Data'!J$5),0)</f>
        <v>115.20421196245397</v>
      </c>
      <c r="D15" s="46">
        <f ca="1">MAX(NORMINV(RAND(),'Collected Data'!K$4,'Collected Data'!K$5),0)</f>
        <v>196.88142767428033</v>
      </c>
      <c r="E15" s="46">
        <f ca="1">MAX(NORMINV(RAND(),'Collected Data'!L$4,'Collected Data'!L$5),0)</f>
        <v>59.925768343594335</v>
      </c>
      <c r="F15" s="46">
        <f ca="1">MAX(NORMINV(RAND(),'Collected Data'!M$4,'Collected Data'!M$5),0)</f>
        <v>0.18933406357693627</v>
      </c>
      <c r="H15" s="6" t="s">
        <v>30</v>
      </c>
      <c r="I15" s="7"/>
      <c r="J15" s="7">
        <f t="shared" ref="J15:M15" ca="1" si="9">AVERAGE($B$2:$B$101)</f>
        <v>17.020699141712072</v>
      </c>
      <c r="K15" s="7">
        <f t="shared" ca="1" si="9"/>
        <v>17.020699141712072</v>
      </c>
      <c r="L15" s="7">
        <f t="shared" ca="1" si="9"/>
        <v>17.020699141712072</v>
      </c>
      <c r="M15" s="7">
        <f t="shared" ca="1" si="9"/>
        <v>17.020699141712072</v>
      </c>
    </row>
    <row r="16" spans="1:13">
      <c r="A16" s="43">
        <v>15</v>
      </c>
      <c r="B16" s="46">
        <f ca="1">MAX(NORMINV(RAND(),'Collected Data'!I$4,'Collected Data'!I$5),0)</f>
        <v>16.453102780562475</v>
      </c>
      <c r="C16" s="46">
        <f ca="1">MAX(NORMINV(RAND(),'Collected Data'!J$4,'Collected Data'!J$5),0)</f>
        <v>147.70164297421491</v>
      </c>
      <c r="D16" s="46">
        <f ca="1">MAX(NORMINV(RAND(),'Collected Data'!K$4,'Collected Data'!K$5),0)</f>
        <v>74.241519345858748</v>
      </c>
      <c r="E16" s="46">
        <f ca="1">MAX(NORMINV(RAND(),'Collected Data'!L$4,'Collected Data'!L$5),0)</f>
        <v>3.924145593469234</v>
      </c>
      <c r="F16" s="46">
        <f ca="1">MAX(NORMINV(RAND(),'Collected Data'!M$4,'Collected Data'!M$5),0)</f>
        <v>106.89039706763162</v>
      </c>
      <c r="H16" s="6" t="s">
        <v>31</v>
      </c>
      <c r="I16" s="43"/>
      <c r="J16" s="7">
        <f t="shared" ref="J16:M16" ca="1" si="10">J17-J15</f>
        <v>76.186051058271687</v>
      </c>
      <c r="K16" s="7">
        <f t="shared" ca="1" si="10"/>
        <v>80.662344500074113</v>
      </c>
      <c r="L16" s="7">
        <f t="shared" ca="1" si="10"/>
        <v>71.625320282484125</v>
      </c>
      <c r="M16" s="7">
        <f t="shared" ca="1" si="10"/>
        <v>75.104129209621448</v>
      </c>
    </row>
    <row r="17" spans="1:13">
      <c r="A17" s="43">
        <v>16</v>
      </c>
      <c r="B17" s="46">
        <f ca="1">MAX(NORMINV(RAND(),'Collected Data'!I$4,'Collected Data'!I$5),0)</f>
        <v>32.912654784685614</v>
      </c>
      <c r="C17" s="46">
        <f ca="1">MAX(NORMINV(RAND(),'Collected Data'!J$4,'Collected Data'!J$5),0)</f>
        <v>75.147546003578455</v>
      </c>
      <c r="D17" s="46">
        <f ca="1">MAX(NORMINV(RAND(),'Collected Data'!K$4,'Collected Data'!K$5),0)</f>
        <v>150.85221578361165</v>
      </c>
      <c r="E17" s="46">
        <f ca="1">MAX(NORMINV(RAND(),'Collected Data'!L$4,'Collected Data'!L$5),0)</f>
        <v>67.842558316308271</v>
      </c>
      <c r="F17" s="46">
        <f ca="1">MAX(NORMINV(RAND(),'Collected Data'!M$4,'Collected Data'!M$5),0)</f>
        <v>17.495444332613687</v>
      </c>
      <c r="H17" s="6" t="s">
        <v>7</v>
      </c>
      <c r="I17" s="7"/>
      <c r="J17" s="7">
        <f t="shared" ref="J17:M17" ca="1" si="11">AVERAGE(C2:C101)</f>
        <v>93.206750199983759</v>
      </c>
      <c r="K17" s="7">
        <f t="shared" ca="1" si="11"/>
        <v>97.683043641786185</v>
      </c>
      <c r="L17" s="7">
        <f t="shared" ca="1" si="11"/>
        <v>88.646019424196197</v>
      </c>
      <c r="M17" s="7">
        <f t="shared" ca="1" si="11"/>
        <v>92.12482835133352</v>
      </c>
    </row>
    <row r="18" spans="1:13">
      <c r="A18" s="43">
        <v>17</v>
      </c>
      <c r="B18" s="46">
        <f ca="1">MAX(NORMINV(RAND(),'Collected Data'!I$4,'Collected Data'!I$5),0)</f>
        <v>10.963614504714544</v>
      </c>
      <c r="C18" s="46">
        <f ca="1">MAX(NORMINV(RAND(),'Collected Data'!J$4,'Collected Data'!J$5),0)</f>
        <v>132.52354172906223</v>
      </c>
      <c r="D18" s="46">
        <f ca="1">MAX(NORMINV(RAND(),'Collected Data'!K$4,'Collected Data'!K$5),0)</f>
        <v>58.284685535716626</v>
      </c>
      <c r="E18" s="46">
        <f ca="1">MAX(NORMINV(RAND(),'Collected Data'!L$4,'Collected Data'!L$5),0)</f>
        <v>95.658599212173243</v>
      </c>
      <c r="F18" s="46">
        <f ca="1">MAX(NORMINV(RAND(),'Collected Data'!M$4,'Collected Data'!M$5),0)</f>
        <v>112.26728632071604</v>
      </c>
    </row>
    <row r="19" spans="1:13">
      <c r="A19" s="43">
        <v>18</v>
      </c>
      <c r="B19" s="46">
        <f ca="1">MAX(NORMINV(RAND(),'Collected Data'!I$4,'Collected Data'!I$5),0)</f>
        <v>14.417451401655407</v>
      </c>
      <c r="C19" s="46">
        <f ca="1">MAX(NORMINV(RAND(),'Collected Data'!J$4,'Collected Data'!J$5),0)</f>
        <v>170.90536411845417</v>
      </c>
      <c r="D19" s="46">
        <f ca="1">MAX(NORMINV(RAND(),'Collected Data'!K$4,'Collected Data'!K$5),0)</f>
        <v>50.135487266635074</v>
      </c>
      <c r="E19" s="46">
        <f ca="1">MAX(NORMINV(RAND(),'Collected Data'!L$4,'Collected Data'!L$5),0)</f>
        <v>9.8872693303486017</v>
      </c>
      <c r="F19" s="46">
        <f ca="1">MAX(NORMINV(RAND(),'Collected Data'!M$4,'Collected Data'!M$5),0)</f>
        <v>63.451722384016342</v>
      </c>
    </row>
    <row r="20" spans="1:13">
      <c r="A20" s="43">
        <v>19</v>
      </c>
      <c r="B20" s="46">
        <f ca="1">MAX(NORMINV(RAND(),'Collected Data'!I$4,'Collected Data'!I$5),0)</f>
        <v>12.037028020313596</v>
      </c>
      <c r="C20" s="46">
        <f ca="1">MAX(NORMINV(RAND(),'Collected Data'!J$4,'Collected Data'!J$5),0)</f>
        <v>98.59166135380184</v>
      </c>
      <c r="D20" s="46">
        <f ca="1">MAX(NORMINV(RAND(),'Collected Data'!K$4,'Collected Data'!K$5),0)</f>
        <v>32.096696845932243</v>
      </c>
      <c r="E20" s="46">
        <f ca="1">MAX(NORMINV(RAND(),'Collected Data'!L$4,'Collected Data'!L$5),0)</f>
        <v>90.199303580922532</v>
      </c>
      <c r="F20" s="46">
        <f ca="1">MAX(NORMINV(RAND(),'Collected Data'!M$4,'Collected Data'!M$5),0)</f>
        <v>130.00841033973376</v>
      </c>
    </row>
    <row r="21" spans="1:13">
      <c r="A21" s="43">
        <v>20</v>
      </c>
      <c r="B21" s="46">
        <f ca="1">MAX(NORMINV(RAND(),'Collected Data'!I$4,'Collected Data'!I$5),0)</f>
        <v>18.560202262584664</v>
      </c>
      <c r="C21" s="46">
        <f ca="1">MAX(NORMINV(RAND(),'Collected Data'!J$4,'Collected Data'!J$5),0)</f>
        <v>34.137128693903207</v>
      </c>
      <c r="D21" s="46">
        <f ca="1">MAX(NORMINV(RAND(),'Collected Data'!K$4,'Collected Data'!K$5),0)</f>
        <v>120.17607954314565</v>
      </c>
      <c r="E21" s="46">
        <f ca="1">MAX(NORMINV(RAND(),'Collected Data'!L$4,'Collected Data'!L$5),0)</f>
        <v>49.651685748162585</v>
      </c>
      <c r="F21" s="46">
        <f ca="1">MAX(NORMINV(RAND(),'Collected Data'!M$4,'Collected Data'!M$5),0)</f>
        <v>71.559678895825044</v>
      </c>
    </row>
    <row r="22" spans="1:13">
      <c r="A22" s="43">
        <v>21</v>
      </c>
      <c r="B22" s="46">
        <f ca="1">MAX(NORMINV(RAND(),'Collected Data'!I$4,'Collected Data'!I$5),0)</f>
        <v>21.377770713680775</v>
      </c>
      <c r="C22" s="46">
        <f ca="1">MAX(NORMINV(RAND(),'Collected Data'!J$4,'Collected Data'!J$5),0)</f>
        <v>83.433694984472936</v>
      </c>
      <c r="D22" s="46">
        <f ca="1">MAX(NORMINV(RAND(),'Collected Data'!K$4,'Collected Data'!K$5),0)</f>
        <v>79.192083144726254</v>
      </c>
      <c r="E22" s="46">
        <f ca="1">MAX(NORMINV(RAND(),'Collected Data'!L$4,'Collected Data'!L$5),0)</f>
        <v>34.37128567674155</v>
      </c>
      <c r="F22" s="46">
        <f ca="1">MAX(NORMINV(RAND(),'Collected Data'!M$4,'Collected Data'!M$5),0)</f>
        <v>86.75086943049169</v>
      </c>
    </row>
    <row r="23" spans="1:13">
      <c r="A23" s="43">
        <v>22</v>
      </c>
      <c r="B23" s="46">
        <f ca="1">MAX(NORMINV(RAND(),'Collected Data'!I$4,'Collected Data'!I$5),0)</f>
        <v>8.0617343187723485</v>
      </c>
      <c r="C23" s="46">
        <f ca="1">MAX(NORMINV(RAND(),'Collected Data'!J$4,'Collected Data'!J$5),0)</f>
        <v>87.77742843307918</v>
      </c>
      <c r="D23" s="46">
        <f ca="1">MAX(NORMINV(RAND(),'Collected Data'!K$4,'Collected Data'!K$5),0)</f>
        <v>0</v>
      </c>
      <c r="E23" s="46">
        <f ca="1">MAX(NORMINV(RAND(),'Collected Data'!L$4,'Collected Data'!L$5),0)</f>
        <v>0.68462024388230702</v>
      </c>
      <c r="F23" s="46">
        <f ca="1">MAX(NORMINV(RAND(),'Collected Data'!M$4,'Collected Data'!M$5),0)</f>
        <v>105.69499420805812</v>
      </c>
    </row>
    <row r="24" spans="1:13">
      <c r="A24" s="43">
        <v>23</v>
      </c>
      <c r="B24" s="46">
        <f ca="1">MAX(NORMINV(RAND(),'Collected Data'!I$4,'Collected Data'!I$5),0)</f>
        <v>7.5741010970642062</v>
      </c>
      <c r="C24" s="46">
        <f ca="1">MAX(NORMINV(RAND(),'Collected Data'!J$4,'Collected Data'!J$5),0)</f>
        <v>71.39001272089989</v>
      </c>
      <c r="D24" s="46">
        <f ca="1">MAX(NORMINV(RAND(),'Collected Data'!K$4,'Collected Data'!K$5),0)</f>
        <v>33.38194498923886</v>
      </c>
      <c r="E24" s="46">
        <f ca="1">MAX(NORMINV(RAND(),'Collected Data'!L$4,'Collected Data'!L$5),0)</f>
        <v>118.16069601276067</v>
      </c>
      <c r="F24" s="46">
        <f ca="1">MAX(NORMINV(RAND(),'Collected Data'!M$4,'Collected Data'!M$5),0)</f>
        <v>100.14925670579528</v>
      </c>
    </row>
    <row r="25" spans="1:13">
      <c r="A25" s="43">
        <v>24</v>
      </c>
      <c r="B25" s="46">
        <f ca="1">MAX(NORMINV(RAND(),'Collected Data'!I$4,'Collected Data'!I$5),0)</f>
        <v>28.374562201710326</v>
      </c>
      <c r="C25" s="46">
        <f ca="1">MAX(NORMINV(RAND(),'Collected Data'!J$4,'Collected Data'!J$5),0)</f>
        <v>115.08913339537928</v>
      </c>
      <c r="D25" s="46">
        <f ca="1">MAX(NORMINV(RAND(),'Collected Data'!K$4,'Collected Data'!K$5),0)</f>
        <v>114.12315503824146</v>
      </c>
      <c r="E25" s="46">
        <f ca="1">MAX(NORMINV(RAND(),'Collected Data'!L$4,'Collected Data'!L$5),0)</f>
        <v>158.16998423763508</v>
      </c>
      <c r="F25" s="46">
        <f ca="1">MAX(NORMINV(RAND(),'Collected Data'!M$4,'Collected Data'!M$5),0)</f>
        <v>70.154088548817128</v>
      </c>
    </row>
    <row r="26" spans="1:13">
      <c r="A26" s="43">
        <v>25</v>
      </c>
      <c r="B26" s="46">
        <f ca="1">MAX(NORMINV(RAND(),'Collected Data'!I$4,'Collected Data'!I$5),0)</f>
        <v>4.5914407743505468</v>
      </c>
      <c r="C26" s="46">
        <f ca="1">MAX(NORMINV(RAND(),'Collected Data'!J$4,'Collected Data'!J$5),0)</f>
        <v>154.52566921989063</v>
      </c>
      <c r="D26" s="46">
        <f ca="1">MAX(NORMINV(RAND(),'Collected Data'!K$4,'Collected Data'!K$5),0)</f>
        <v>88.099672185947952</v>
      </c>
      <c r="E26" s="46">
        <f ca="1">MAX(NORMINV(RAND(),'Collected Data'!L$4,'Collected Data'!L$5),0)</f>
        <v>95.369470406077625</v>
      </c>
      <c r="F26" s="46">
        <f ca="1">MAX(NORMINV(RAND(),'Collected Data'!M$4,'Collected Data'!M$5),0)</f>
        <v>54.814304092626521</v>
      </c>
    </row>
    <row r="27" spans="1:13">
      <c r="A27" s="43">
        <v>26</v>
      </c>
      <c r="B27" s="46">
        <f ca="1">MAX(NORMINV(RAND(),'Collected Data'!I$4,'Collected Data'!I$5),0)</f>
        <v>0</v>
      </c>
      <c r="C27" s="46">
        <f ca="1">MAX(NORMINV(RAND(),'Collected Data'!J$4,'Collected Data'!J$5),0)</f>
        <v>17.692205501139327</v>
      </c>
      <c r="D27" s="46">
        <f ca="1">MAX(NORMINV(RAND(),'Collected Data'!K$4,'Collected Data'!K$5),0)</f>
        <v>186.94965179742127</v>
      </c>
      <c r="E27" s="46">
        <f ca="1">MAX(NORMINV(RAND(),'Collected Data'!L$4,'Collected Data'!L$5),0)</f>
        <v>27.768833588399922</v>
      </c>
      <c r="F27" s="46">
        <f ca="1">MAX(NORMINV(RAND(),'Collected Data'!M$4,'Collected Data'!M$5),0)</f>
        <v>15.946963793694167</v>
      </c>
    </row>
    <row r="28" spans="1:13">
      <c r="A28" s="43">
        <v>27</v>
      </c>
      <c r="B28" s="46">
        <f ca="1">MAX(NORMINV(RAND(),'Collected Data'!I$4,'Collected Data'!I$5),0)</f>
        <v>17.233496483441499</v>
      </c>
      <c r="C28" s="46">
        <f ca="1">MAX(NORMINV(RAND(),'Collected Data'!J$4,'Collected Data'!J$5),0)</f>
        <v>90.724576996851169</v>
      </c>
      <c r="D28" s="46">
        <f ca="1">MAX(NORMINV(RAND(),'Collected Data'!K$4,'Collected Data'!K$5),0)</f>
        <v>145.59467806638509</v>
      </c>
      <c r="E28" s="46">
        <f ca="1">MAX(NORMINV(RAND(),'Collected Data'!L$4,'Collected Data'!L$5),0)</f>
        <v>105.98139647764214</v>
      </c>
      <c r="F28" s="46">
        <f ca="1">MAX(NORMINV(RAND(),'Collected Data'!M$4,'Collected Data'!M$5),0)</f>
        <v>186.71381080057142</v>
      </c>
    </row>
    <row r="29" spans="1:13">
      <c r="A29" s="43">
        <v>28</v>
      </c>
      <c r="B29" s="46">
        <f ca="1">MAX(NORMINV(RAND(),'Collected Data'!I$4,'Collected Data'!I$5),0)</f>
        <v>10.367430015714486</v>
      </c>
      <c r="C29" s="46">
        <f ca="1">MAX(NORMINV(RAND(),'Collected Data'!J$4,'Collected Data'!J$5),0)</f>
        <v>83.345596808902897</v>
      </c>
      <c r="D29" s="46">
        <f ca="1">MAX(NORMINV(RAND(),'Collected Data'!K$4,'Collected Data'!K$5),0)</f>
        <v>21.981369924334174</v>
      </c>
      <c r="E29" s="46">
        <f ca="1">MAX(NORMINV(RAND(),'Collected Data'!L$4,'Collected Data'!L$5),0)</f>
        <v>42.306865427016284</v>
      </c>
      <c r="F29" s="46">
        <f ca="1">MAX(NORMINV(RAND(),'Collected Data'!M$4,'Collected Data'!M$5),0)</f>
        <v>94.932417253676377</v>
      </c>
    </row>
    <row r="30" spans="1:13">
      <c r="A30" s="43">
        <v>29</v>
      </c>
      <c r="B30" s="46">
        <f ca="1">MAX(NORMINV(RAND(),'Collected Data'!I$4,'Collected Data'!I$5),0)</f>
        <v>20.95731237963227</v>
      </c>
      <c r="C30" s="46">
        <f ca="1">MAX(NORMINV(RAND(),'Collected Data'!J$4,'Collected Data'!J$5),0)</f>
        <v>53.959846194161159</v>
      </c>
      <c r="D30" s="46">
        <f ca="1">MAX(NORMINV(RAND(),'Collected Data'!K$4,'Collected Data'!K$5),0)</f>
        <v>18.653202214516696</v>
      </c>
      <c r="E30" s="46">
        <f ca="1">MAX(NORMINV(RAND(),'Collected Data'!L$4,'Collected Data'!L$5),0)</f>
        <v>108.30286880782057</v>
      </c>
      <c r="F30" s="46">
        <f ca="1">MAX(NORMINV(RAND(),'Collected Data'!M$4,'Collected Data'!M$5),0)</f>
        <v>59.459395773440164</v>
      </c>
    </row>
    <row r="31" spans="1:13">
      <c r="A31" s="43">
        <v>30</v>
      </c>
      <c r="B31" s="46">
        <f ca="1">MAX(NORMINV(RAND(),'Collected Data'!I$4,'Collected Data'!I$5),0)</f>
        <v>17.365204648782591</v>
      </c>
      <c r="C31" s="46">
        <f ca="1">MAX(NORMINV(RAND(),'Collected Data'!J$4,'Collected Data'!J$5),0)</f>
        <v>107.29884721484483</v>
      </c>
      <c r="D31" s="46">
        <f ca="1">MAX(NORMINV(RAND(),'Collected Data'!K$4,'Collected Data'!K$5),0)</f>
        <v>83.947517254747169</v>
      </c>
      <c r="E31" s="46">
        <f ca="1">MAX(NORMINV(RAND(),'Collected Data'!L$4,'Collected Data'!L$5),0)</f>
        <v>165.20923205157663</v>
      </c>
      <c r="F31" s="46">
        <f ca="1">MAX(NORMINV(RAND(),'Collected Data'!M$4,'Collected Data'!M$5),0)</f>
        <v>111.10268580830046</v>
      </c>
    </row>
    <row r="32" spans="1:13">
      <c r="A32" s="43">
        <v>31</v>
      </c>
      <c r="B32" s="46">
        <f ca="1">MAX(NORMINV(RAND(),'Collected Data'!I$4,'Collected Data'!I$5),0)</f>
        <v>18.602558292873596</v>
      </c>
      <c r="C32" s="46">
        <f ca="1">MAX(NORMINV(RAND(),'Collected Data'!J$4,'Collected Data'!J$5),0)</f>
        <v>88.984444065607462</v>
      </c>
      <c r="D32" s="46">
        <f ca="1">MAX(NORMINV(RAND(),'Collected Data'!K$4,'Collected Data'!K$5),0)</f>
        <v>4.2242435114784627</v>
      </c>
      <c r="E32" s="46">
        <f ca="1">MAX(NORMINV(RAND(),'Collected Data'!L$4,'Collected Data'!L$5),0)</f>
        <v>62.787651519683351</v>
      </c>
      <c r="F32" s="46">
        <f ca="1">MAX(NORMINV(RAND(),'Collected Data'!M$4,'Collected Data'!M$5),0)</f>
        <v>71.891917946735234</v>
      </c>
    </row>
    <row r="33" spans="1:6">
      <c r="A33" s="43">
        <v>32</v>
      </c>
      <c r="B33" s="46">
        <f ca="1">MAX(NORMINV(RAND(),'Collected Data'!I$4,'Collected Data'!I$5),0)</f>
        <v>12.509891682991249</v>
      </c>
      <c r="C33" s="46">
        <f ca="1">MAX(NORMINV(RAND(),'Collected Data'!J$4,'Collected Data'!J$5),0)</f>
        <v>111.49533395067202</v>
      </c>
      <c r="D33" s="46">
        <f ca="1">MAX(NORMINV(RAND(),'Collected Data'!K$4,'Collected Data'!K$5),0)</f>
        <v>86.904146033646157</v>
      </c>
      <c r="E33" s="46">
        <f ca="1">MAX(NORMINV(RAND(),'Collected Data'!L$4,'Collected Data'!L$5),0)</f>
        <v>71.443795220946285</v>
      </c>
      <c r="F33" s="46">
        <f ca="1">MAX(NORMINV(RAND(),'Collected Data'!M$4,'Collected Data'!M$5),0)</f>
        <v>2.195642330081256</v>
      </c>
    </row>
    <row r="34" spans="1:6">
      <c r="A34" s="43">
        <v>33</v>
      </c>
      <c r="B34" s="46">
        <f ca="1">MAX(NORMINV(RAND(),'Collected Data'!I$4,'Collected Data'!I$5),0)</f>
        <v>9.2307817786983719</v>
      </c>
      <c r="C34" s="46">
        <f ca="1">MAX(NORMINV(RAND(),'Collected Data'!J$4,'Collected Data'!J$5),0)</f>
        <v>146.03467492759424</v>
      </c>
      <c r="D34" s="46">
        <f ca="1">MAX(NORMINV(RAND(),'Collected Data'!K$4,'Collected Data'!K$5),0)</f>
        <v>226.72456186736486</v>
      </c>
      <c r="E34" s="46">
        <f ca="1">MAX(NORMINV(RAND(),'Collected Data'!L$4,'Collected Data'!L$5),0)</f>
        <v>114.7613961089109</v>
      </c>
      <c r="F34" s="46">
        <f ca="1">MAX(NORMINV(RAND(),'Collected Data'!M$4,'Collected Data'!M$5),0)</f>
        <v>86.89446655898611</v>
      </c>
    </row>
    <row r="35" spans="1:6">
      <c r="A35" s="43">
        <v>34</v>
      </c>
      <c r="B35" s="46">
        <f ca="1">MAX(NORMINV(RAND(),'Collected Data'!I$4,'Collected Data'!I$5),0)</f>
        <v>5.6244801495548273</v>
      </c>
      <c r="C35" s="46">
        <f ca="1">MAX(NORMINV(RAND(),'Collected Data'!J$4,'Collected Data'!J$5),0)</f>
        <v>79.667345419000611</v>
      </c>
      <c r="D35" s="46">
        <f ca="1">MAX(NORMINV(RAND(),'Collected Data'!K$4,'Collected Data'!K$5),0)</f>
        <v>149.45949250939651</v>
      </c>
      <c r="E35" s="46">
        <f ca="1">MAX(NORMINV(RAND(),'Collected Data'!L$4,'Collected Data'!L$5),0)</f>
        <v>79.586454169015312</v>
      </c>
      <c r="F35" s="46">
        <f ca="1">MAX(NORMINV(RAND(),'Collected Data'!M$4,'Collected Data'!M$5),0)</f>
        <v>82.587821157448857</v>
      </c>
    </row>
    <row r="36" spans="1:6">
      <c r="A36" s="43">
        <v>35</v>
      </c>
      <c r="B36" s="46">
        <f ca="1">MAX(NORMINV(RAND(),'Collected Data'!I$4,'Collected Data'!I$5),0)</f>
        <v>17.401716684743818</v>
      </c>
      <c r="C36" s="46">
        <f ca="1">MAX(NORMINV(RAND(),'Collected Data'!J$4,'Collected Data'!J$5),0)</f>
        <v>83.756904709717588</v>
      </c>
      <c r="D36" s="46">
        <f ca="1">MAX(NORMINV(RAND(),'Collected Data'!K$4,'Collected Data'!K$5),0)</f>
        <v>80.58395639714216</v>
      </c>
      <c r="E36" s="46">
        <f ca="1">MAX(NORMINV(RAND(),'Collected Data'!L$4,'Collected Data'!L$5),0)</f>
        <v>77.63597795380953</v>
      </c>
      <c r="F36" s="46">
        <f ca="1">MAX(NORMINV(RAND(),'Collected Data'!M$4,'Collected Data'!M$5),0)</f>
        <v>131.38187882063434</v>
      </c>
    </row>
    <row r="37" spans="1:6">
      <c r="A37" s="43">
        <v>36</v>
      </c>
      <c r="B37" s="46">
        <f ca="1">MAX(NORMINV(RAND(),'Collected Data'!I$4,'Collected Data'!I$5),0)</f>
        <v>26.234414693298927</v>
      </c>
      <c r="C37" s="46">
        <f ca="1">MAX(NORMINV(RAND(),'Collected Data'!J$4,'Collected Data'!J$5),0)</f>
        <v>94.721120289848017</v>
      </c>
      <c r="D37" s="46">
        <f ca="1">MAX(NORMINV(RAND(),'Collected Data'!K$4,'Collected Data'!K$5),0)</f>
        <v>78.258073148104671</v>
      </c>
      <c r="E37" s="46">
        <f ca="1">MAX(NORMINV(RAND(),'Collected Data'!L$4,'Collected Data'!L$5),0)</f>
        <v>78.088129924428586</v>
      </c>
      <c r="F37" s="46">
        <f ca="1">MAX(NORMINV(RAND(),'Collected Data'!M$4,'Collected Data'!M$5),0)</f>
        <v>118.61648672877503</v>
      </c>
    </row>
    <row r="38" spans="1:6">
      <c r="A38" s="43">
        <v>37</v>
      </c>
      <c r="B38" s="46">
        <f ca="1">MAX(NORMINV(RAND(),'Collected Data'!I$4,'Collected Data'!I$5),0)</f>
        <v>21.734113956200325</v>
      </c>
      <c r="C38" s="46">
        <f ca="1">MAX(NORMINV(RAND(),'Collected Data'!J$4,'Collected Data'!J$5),0)</f>
        <v>134.52097061093269</v>
      </c>
      <c r="D38" s="46">
        <f ca="1">MAX(NORMINV(RAND(),'Collected Data'!K$4,'Collected Data'!K$5),0)</f>
        <v>78.612174215297244</v>
      </c>
      <c r="E38" s="46">
        <f ca="1">MAX(NORMINV(RAND(),'Collected Data'!L$4,'Collected Data'!L$5),0)</f>
        <v>45.180637740532191</v>
      </c>
      <c r="F38" s="46">
        <f ca="1">MAX(NORMINV(RAND(),'Collected Data'!M$4,'Collected Data'!M$5),0)</f>
        <v>113.29748822673974</v>
      </c>
    </row>
    <row r="39" spans="1:6">
      <c r="A39" s="43">
        <v>38</v>
      </c>
      <c r="B39" s="46">
        <f ca="1">MAX(NORMINV(RAND(),'Collected Data'!I$4,'Collected Data'!I$5),0)</f>
        <v>33.403471363135047</v>
      </c>
      <c r="C39" s="46">
        <f ca="1">MAX(NORMINV(RAND(),'Collected Data'!J$4,'Collected Data'!J$5),0)</f>
        <v>56.227983068276963</v>
      </c>
      <c r="D39" s="46">
        <f ca="1">MAX(NORMINV(RAND(),'Collected Data'!K$4,'Collected Data'!K$5),0)</f>
        <v>182.57950244462768</v>
      </c>
      <c r="E39" s="46">
        <f ca="1">MAX(NORMINV(RAND(),'Collected Data'!L$4,'Collected Data'!L$5),0)</f>
        <v>79.755497511800399</v>
      </c>
      <c r="F39" s="46">
        <f ca="1">MAX(NORMINV(RAND(),'Collected Data'!M$4,'Collected Data'!M$5),0)</f>
        <v>73.596924101571972</v>
      </c>
    </row>
    <row r="40" spans="1:6">
      <c r="A40" s="43">
        <v>39</v>
      </c>
      <c r="B40" s="46">
        <f ca="1">MAX(NORMINV(RAND(),'Collected Data'!I$4,'Collected Data'!I$5),0)</f>
        <v>19.298003399420644</v>
      </c>
      <c r="C40" s="46">
        <f ca="1">MAX(NORMINV(RAND(),'Collected Data'!J$4,'Collected Data'!J$5),0)</f>
        <v>80.351918892613469</v>
      </c>
      <c r="D40" s="46">
        <f ca="1">MAX(NORMINV(RAND(),'Collected Data'!K$4,'Collected Data'!K$5),0)</f>
        <v>152.95261827488531</v>
      </c>
      <c r="E40" s="46">
        <f ca="1">MAX(NORMINV(RAND(),'Collected Data'!L$4,'Collected Data'!L$5),0)</f>
        <v>95.394424005860628</v>
      </c>
      <c r="F40" s="46">
        <f ca="1">MAX(NORMINV(RAND(),'Collected Data'!M$4,'Collected Data'!M$5),0)</f>
        <v>29.615410958905365</v>
      </c>
    </row>
    <row r="41" spans="1:6">
      <c r="A41" s="43">
        <v>40</v>
      </c>
      <c r="B41" s="46">
        <f ca="1">MAX(NORMINV(RAND(),'Collected Data'!I$4,'Collected Data'!I$5),0)</f>
        <v>16.425257071869776</v>
      </c>
      <c r="C41" s="46">
        <f ca="1">MAX(NORMINV(RAND(),'Collected Data'!J$4,'Collected Data'!J$5),0)</f>
        <v>89.985842924277492</v>
      </c>
      <c r="D41" s="46">
        <f ca="1">MAX(NORMINV(RAND(),'Collected Data'!K$4,'Collected Data'!K$5),0)</f>
        <v>193.08639607129999</v>
      </c>
      <c r="E41" s="46">
        <f ca="1">MAX(NORMINV(RAND(),'Collected Data'!L$4,'Collected Data'!L$5),0)</f>
        <v>131.12367746879593</v>
      </c>
      <c r="F41" s="46">
        <f ca="1">MAX(NORMINV(RAND(),'Collected Data'!M$4,'Collected Data'!M$5),0)</f>
        <v>100.1584726438566</v>
      </c>
    </row>
    <row r="42" spans="1:6">
      <c r="A42" s="43">
        <v>41</v>
      </c>
      <c r="B42" s="46">
        <f ca="1">MAX(NORMINV(RAND(),'Collected Data'!I$4,'Collected Data'!I$5),0)</f>
        <v>20.633541156797435</v>
      </c>
      <c r="C42" s="46">
        <f ca="1">MAX(NORMINV(RAND(),'Collected Data'!J$4,'Collected Data'!J$5),0)</f>
        <v>51.715022786819361</v>
      </c>
      <c r="D42" s="46">
        <f ca="1">MAX(NORMINV(RAND(),'Collected Data'!K$4,'Collected Data'!K$5),0)</f>
        <v>215.02351472741648</v>
      </c>
      <c r="E42" s="46">
        <f ca="1">MAX(NORMINV(RAND(),'Collected Data'!L$4,'Collected Data'!L$5),0)</f>
        <v>80.964355896586255</v>
      </c>
      <c r="F42" s="46">
        <f ca="1">MAX(NORMINV(RAND(),'Collected Data'!M$4,'Collected Data'!M$5),0)</f>
        <v>126.65673123072247</v>
      </c>
    </row>
    <row r="43" spans="1:6">
      <c r="A43" s="43">
        <v>42</v>
      </c>
      <c r="B43" s="46">
        <f ca="1">MAX(NORMINV(RAND(),'Collected Data'!I$4,'Collected Data'!I$5),0)</f>
        <v>9.1196896857447562</v>
      </c>
      <c r="C43" s="46">
        <f ca="1">MAX(NORMINV(RAND(),'Collected Data'!J$4,'Collected Data'!J$5),0)</f>
        <v>92.576458667587374</v>
      </c>
      <c r="D43" s="46">
        <f ca="1">MAX(NORMINV(RAND(),'Collected Data'!K$4,'Collected Data'!K$5),0)</f>
        <v>85.567221581803864</v>
      </c>
      <c r="E43" s="46">
        <f ca="1">MAX(NORMINV(RAND(),'Collected Data'!L$4,'Collected Data'!L$5),0)</f>
        <v>198.22771975682105</v>
      </c>
      <c r="F43" s="46">
        <f ca="1">MAX(NORMINV(RAND(),'Collected Data'!M$4,'Collected Data'!M$5),0)</f>
        <v>42.162012938479435</v>
      </c>
    </row>
    <row r="44" spans="1:6">
      <c r="A44" s="43">
        <v>43</v>
      </c>
      <c r="B44" s="46">
        <f ca="1">MAX(NORMINV(RAND(),'Collected Data'!I$4,'Collected Data'!I$5),0)</f>
        <v>11.381041222253081</v>
      </c>
      <c r="C44" s="46">
        <f ca="1">MAX(NORMINV(RAND(),'Collected Data'!J$4,'Collected Data'!J$5),0)</f>
        <v>92.016092125098893</v>
      </c>
      <c r="D44" s="46">
        <f ca="1">MAX(NORMINV(RAND(),'Collected Data'!K$4,'Collected Data'!K$5),0)</f>
        <v>113.45644095081735</v>
      </c>
      <c r="E44" s="46">
        <f ca="1">MAX(NORMINV(RAND(),'Collected Data'!L$4,'Collected Data'!L$5),0)</f>
        <v>134.18556433742594</v>
      </c>
      <c r="F44" s="46">
        <f ca="1">MAX(NORMINV(RAND(),'Collected Data'!M$4,'Collected Data'!M$5),0)</f>
        <v>33.738754151448241</v>
      </c>
    </row>
    <row r="45" spans="1:6">
      <c r="A45" s="43">
        <v>44</v>
      </c>
      <c r="B45" s="46">
        <f ca="1">MAX(NORMINV(RAND(),'Collected Data'!I$4,'Collected Data'!I$5),0)</f>
        <v>24.275535347498451</v>
      </c>
      <c r="C45" s="46">
        <f ca="1">MAX(NORMINV(RAND(),'Collected Data'!J$4,'Collected Data'!J$5),0)</f>
        <v>104.22264518695476</v>
      </c>
      <c r="D45" s="46">
        <f ca="1">MAX(NORMINV(RAND(),'Collected Data'!K$4,'Collected Data'!K$5),0)</f>
        <v>114.24241111735219</v>
      </c>
      <c r="E45" s="46">
        <f ca="1">MAX(NORMINV(RAND(),'Collected Data'!L$4,'Collected Data'!L$5),0)</f>
        <v>88.331789535328269</v>
      </c>
      <c r="F45" s="46">
        <f ca="1">MAX(NORMINV(RAND(),'Collected Data'!M$4,'Collected Data'!M$5),0)</f>
        <v>129.86822603210734</v>
      </c>
    </row>
    <row r="46" spans="1:6">
      <c r="A46" s="43">
        <v>45</v>
      </c>
      <c r="B46" s="46">
        <f ca="1">MAX(NORMINV(RAND(),'Collected Data'!I$4,'Collected Data'!I$5),0)</f>
        <v>7.2253243153044018</v>
      </c>
      <c r="C46" s="46">
        <f ca="1">MAX(NORMINV(RAND(),'Collected Data'!J$4,'Collected Data'!J$5),0)</f>
        <v>15.697811186870695</v>
      </c>
      <c r="D46" s="46">
        <f ca="1">MAX(NORMINV(RAND(),'Collected Data'!K$4,'Collected Data'!K$5),0)</f>
        <v>52.96074614109866</v>
      </c>
      <c r="E46" s="46">
        <f ca="1">MAX(NORMINV(RAND(),'Collected Data'!L$4,'Collected Data'!L$5),0)</f>
        <v>7.7937518122556639</v>
      </c>
      <c r="F46" s="46">
        <f ca="1">MAX(NORMINV(RAND(),'Collected Data'!M$4,'Collected Data'!M$5),0)</f>
        <v>138.38289208872092</v>
      </c>
    </row>
    <row r="47" spans="1:6">
      <c r="A47" s="43">
        <v>46</v>
      </c>
      <c r="B47" s="46">
        <f ca="1">MAX(NORMINV(RAND(),'Collected Data'!I$4,'Collected Data'!I$5),0)</f>
        <v>18.137570368036858</v>
      </c>
      <c r="C47" s="46">
        <f ca="1">MAX(NORMINV(RAND(),'Collected Data'!J$4,'Collected Data'!J$5),0)</f>
        <v>119.25651667403505</v>
      </c>
      <c r="D47" s="46">
        <f ca="1">MAX(NORMINV(RAND(),'Collected Data'!K$4,'Collected Data'!K$5),0)</f>
        <v>140.29631193873485</v>
      </c>
      <c r="E47" s="46">
        <f ca="1">MAX(NORMINV(RAND(),'Collected Data'!L$4,'Collected Data'!L$5),0)</f>
        <v>183.20792866611674</v>
      </c>
      <c r="F47" s="46">
        <f ca="1">MAX(NORMINV(RAND(),'Collected Data'!M$4,'Collected Data'!M$5),0)</f>
        <v>126.40210144288666</v>
      </c>
    </row>
    <row r="48" spans="1:6">
      <c r="A48" s="43">
        <v>47</v>
      </c>
      <c r="B48" s="46">
        <f ca="1">MAX(NORMINV(RAND(),'Collected Data'!I$4,'Collected Data'!I$5),0)</f>
        <v>3.5410457651280574</v>
      </c>
      <c r="C48" s="46">
        <f ca="1">MAX(NORMINV(RAND(),'Collected Data'!J$4,'Collected Data'!J$5),0)</f>
        <v>150.92070968192849</v>
      </c>
      <c r="D48" s="46">
        <f ca="1">MAX(NORMINV(RAND(),'Collected Data'!K$4,'Collected Data'!K$5),0)</f>
        <v>135.77599594322919</v>
      </c>
      <c r="E48" s="46">
        <f ca="1">MAX(NORMINV(RAND(),'Collected Data'!L$4,'Collected Data'!L$5),0)</f>
        <v>78.193102223163663</v>
      </c>
      <c r="F48" s="46">
        <f ca="1">MAX(NORMINV(RAND(),'Collected Data'!M$4,'Collected Data'!M$5),0)</f>
        <v>42.010264570707704</v>
      </c>
    </row>
    <row r="49" spans="1:6">
      <c r="A49" s="43">
        <v>48</v>
      </c>
      <c r="B49" s="46">
        <f ca="1">MAX(NORMINV(RAND(),'Collected Data'!I$4,'Collected Data'!I$5),0)</f>
        <v>19.305883953819116</v>
      </c>
      <c r="C49" s="46">
        <f ca="1">MAX(NORMINV(RAND(),'Collected Data'!J$4,'Collected Data'!J$5),0)</f>
        <v>98.334927806594862</v>
      </c>
      <c r="D49" s="46">
        <f ca="1">MAX(NORMINV(RAND(),'Collected Data'!K$4,'Collected Data'!K$5),0)</f>
        <v>65.37664015929127</v>
      </c>
      <c r="E49" s="46">
        <f ca="1">MAX(NORMINV(RAND(),'Collected Data'!L$4,'Collected Data'!L$5),0)</f>
        <v>38.094974949173832</v>
      </c>
      <c r="F49" s="46">
        <f ca="1">MAX(NORMINV(RAND(),'Collected Data'!M$4,'Collected Data'!M$5),0)</f>
        <v>129.5514367817276</v>
      </c>
    </row>
    <row r="50" spans="1:6">
      <c r="A50" s="43">
        <v>49</v>
      </c>
      <c r="B50" s="46">
        <f ca="1">MAX(NORMINV(RAND(),'Collected Data'!I$4,'Collected Data'!I$5),0)</f>
        <v>15.254504474433711</v>
      </c>
      <c r="C50" s="46">
        <f ca="1">MAX(NORMINV(RAND(),'Collected Data'!J$4,'Collected Data'!J$5),0)</f>
        <v>148.77828409825113</v>
      </c>
      <c r="D50" s="46">
        <f ca="1">MAX(NORMINV(RAND(),'Collected Data'!K$4,'Collected Data'!K$5),0)</f>
        <v>145.79645502944555</v>
      </c>
      <c r="E50" s="46">
        <f ca="1">MAX(NORMINV(RAND(),'Collected Data'!L$4,'Collected Data'!L$5),0)</f>
        <v>130.04305271054989</v>
      </c>
      <c r="F50" s="46">
        <f ca="1">MAX(NORMINV(RAND(),'Collected Data'!M$4,'Collected Data'!M$5),0)</f>
        <v>79.709604343232968</v>
      </c>
    </row>
    <row r="51" spans="1:6">
      <c r="A51" s="43">
        <v>50</v>
      </c>
      <c r="B51" s="46">
        <f ca="1">MAX(NORMINV(RAND(),'Collected Data'!I$4,'Collected Data'!I$5),0)</f>
        <v>14.230050298413932</v>
      </c>
      <c r="C51" s="46">
        <f ca="1">MAX(NORMINV(RAND(),'Collected Data'!J$4,'Collected Data'!J$5),0)</f>
        <v>63.159845070721161</v>
      </c>
      <c r="D51" s="46">
        <f ca="1">MAX(NORMINV(RAND(),'Collected Data'!K$4,'Collected Data'!K$5),0)</f>
        <v>67.724451469786985</v>
      </c>
      <c r="E51" s="46">
        <f ca="1">MAX(NORMINV(RAND(),'Collected Data'!L$4,'Collected Data'!L$5),0)</f>
        <v>124.64484376042057</v>
      </c>
      <c r="F51" s="46">
        <f ca="1">MAX(NORMINV(RAND(),'Collected Data'!M$4,'Collected Data'!M$5),0)</f>
        <v>91.989419921749317</v>
      </c>
    </row>
    <row r="52" spans="1:6">
      <c r="A52" s="43">
        <v>51</v>
      </c>
      <c r="B52" s="46">
        <f ca="1">MAX(NORMINV(RAND(),'Collected Data'!I$4,'Collected Data'!I$5),0)</f>
        <v>12.616295807811406</v>
      </c>
      <c r="C52" s="46">
        <f ca="1">MAX(NORMINV(RAND(),'Collected Data'!J$4,'Collected Data'!J$5),0)</f>
        <v>98.736105763760861</v>
      </c>
      <c r="D52" s="46">
        <f ca="1">MAX(NORMINV(RAND(),'Collected Data'!K$4,'Collected Data'!K$5),0)</f>
        <v>28.423116050994892</v>
      </c>
      <c r="E52" s="46">
        <f ca="1">MAX(NORMINV(RAND(),'Collected Data'!L$4,'Collected Data'!L$5),0)</f>
        <v>62.45241080883153</v>
      </c>
      <c r="F52" s="46">
        <f ca="1">MAX(NORMINV(RAND(),'Collected Data'!M$4,'Collected Data'!M$5),0)</f>
        <v>154.45037098650255</v>
      </c>
    </row>
    <row r="53" spans="1:6">
      <c r="A53" s="43">
        <v>52</v>
      </c>
      <c r="B53" s="46">
        <f ca="1">MAX(NORMINV(RAND(),'Collected Data'!I$4,'Collected Data'!I$5),0)</f>
        <v>20.967902681446454</v>
      </c>
      <c r="C53" s="46">
        <f ca="1">MAX(NORMINV(RAND(),'Collected Data'!J$4,'Collected Data'!J$5),0)</f>
        <v>134.75379504851571</v>
      </c>
      <c r="D53" s="46">
        <f ca="1">MAX(NORMINV(RAND(),'Collected Data'!K$4,'Collected Data'!K$5),0)</f>
        <v>192.05246118869564</v>
      </c>
      <c r="E53" s="46">
        <f ca="1">MAX(NORMINV(RAND(),'Collected Data'!L$4,'Collected Data'!L$5),0)</f>
        <v>96.740667169132152</v>
      </c>
      <c r="F53" s="46">
        <f ca="1">MAX(NORMINV(RAND(),'Collected Data'!M$4,'Collected Data'!M$5),0)</f>
        <v>65.538732469197555</v>
      </c>
    </row>
    <row r="54" spans="1:6">
      <c r="A54" s="43">
        <v>53</v>
      </c>
      <c r="B54" s="46">
        <f ca="1">MAX(NORMINV(RAND(),'Collected Data'!I$4,'Collected Data'!I$5),0)</f>
        <v>4.2965791755947276</v>
      </c>
      <c r="C54" s="46">
        <f ca="1">MAX(NORMINV(RAND(),'Collected Data'!J$4,'Collected Data'!J$5),0)</f>
        <v>87.788586969610847</v>
      </c>
      <c r="D54" s="46">
        <f ca="1">MAX(NORMINV(RAND(),'Collected Data'!K$4,'Collected Data'!K$5),0)</f>
        <v>55.505165147801527</v>
      </c>
      <c r="E54" s="46">
        <f ca="1">MAX(NORMINV(RAND(),'Collected Data'!L$4,'Collected Data'!L$5),0)</f>
        <v>79.610811186527755</v>
      </c>
      <c r="F54" s="46">
        <f ca="1">MAX(NORMINV(RAND(),'Collected Data'!M$4,'Collected Data'!M$5),0)</f>
        <v>133.55087987221771</v>
      </c>
    </row>
    <row r="55" spans="1:6">
      <c r="A55" s="43">
        <v>54</v>
      </c>
      <c r="B55" s="46">
        <f ca="1">MAX(NORMINV(RAND(),'Collected Data'!I$4,'Collected Data'!I$5),0)</f>
        <v>4.493107423340776</v>
      </c>
      <c r="C55" s="46">
        <f ca="1">MAX(NORMINV(RAND(),'Collected Data'!J$4,'Collected Data'!J$5),0)</f>
        <v>91.341395426045793</v>
      </c>
      <c r="D55" s="46">
        <f ca="1">MAX(NORMINV(RAND(),'Collected Data'!K$4,'Collected Data'!K$5),0)</f>
        <v>48.352477545301767</v>
      </c>
      <c r="E55" s="46">
        <f ca="1">MAX(NORMINV(RAND(),'Collected Data'!L$4,'Collected Data'!L$5),0)</f>
        <v>188.60220419837719</v>
      </c>
      <c r="F55" s="46">
        <f ca="1">MAX(NORMINV(RAND(),'Collected Data'!M$4,'Collected Data'!M$5),0)</f>
        <v>55.715986796179536</v>
      </c>
    </row>
    <row r="56" spans="1:6">
      <c r="A56" s="43">
        <v>55</v>
      </c>
      <c r="B56" s="46">
        <f ca="1">MAX(NORMINV(RAND(),'Collected Data'!I$4,'Collected Data'!I$5),0)</f>
        <v>1.5980612066430488</v>
      </c>
      <c r="C56" s="46">
        <f ca="1">MAX(NORMINV(RAND(),'Collected Data'!J$4,'Collected Data'!J$5),0)</f>
        <v>71.948863642207158</v>
      </c>
      <c r="D56" s="46">
        <f ca="1">MAX(NORMINV(RAND(),'Collected Data'!K$4,'Collected Data'!K$5),0)</f>
        <v>115.03277690595947</v>
      </c>
      <c r="E56" s="46">
        <f ca="1">MAX(NORMINV(RAND(),'Collected Data'!L$4,'Collected Data'!L$5),0)</f>
        <v>17.371877380668906</v>
      </c>
      <c r="F56" s="46">
        <f ca="1">MAX(NORMINV(RAND(),'Collected Data'!M$4,'Collected Data'!M$5),0)</f>
        <v>149.03251560672163</v>
      </c>
    </row>
    <row r="57" spans="1:6">
      <c r="A57" s="43">
        <v>56</v>
      </c>
      <c r="B57" s="46">
        <f ca="1">MAX(NORMINV(RAND(),'Collected Data'!I$4,'Collected Data'!I$5),0)</f>
        <v>27.101654609895704</v>
      </c>
      <c r="C57" s="46">
        <f ca="1">MAX(NORMINV(RAND(),'Collected Data'!J$4,'Collected Data'!J$5),0)</f>
        <v>98.790028002492775</v>
      </c>
      <c r="D57" s="46">
        <f ca="1">MAX(NORMINV(RAND(),'Collected Data'!K$4,'Collected Data'!K$5),0)</f>
        <v>85.576473291069462</v>
      </c>
      <c r="E57" s="46">
        <f ca="1">MAX(NORMINV(RAND(),'Collected Data'!L$4,'Collected Data'!L$5),0)</f>
        <v>125.13490558318688</v>
      </c>
      <c r="F57" s="46">
        <f ca="1">MAX(NORMINV(RAND(),'Collected Data'!M$4,'Collected Data'!M$5),0)</f>
        <v>67.652736889817632</v>
      </c>
    </row>
    <row r="58" spans="1:6">
      <c r="A58" s="43">
        <v>57</v>
      </c>
      <c r="B58" s="46">
        <f ca="1">MAX(NORMINV(RAND(),'Collected Data'!I$4,'Collected Data'!I$5),0)</f>
        <v>27.422790587890226</v>
      </c>
      <c r="C58" s="46">
        <f ca="1">MAX(NORMINV(RAND(),'Collected Data'!J$4,'Collected Data'!J$5),0)</f>
        <v>97.554057803875168</v>
      </c>
      <c r="D58" s="46">
        <f ca="1">MAX(NORMINV(RAND(),'Collected Data'!K$4,'Collected Data'!K$5),0)</f>
        <v>113.11627242754145</v>
      </c>
      <c r="E58" s="46">
        <f ca="1">MAX(NORMINV(RAND(),'Collected Data'!L$4,'Collected Data'!L$5),0)</f>
        <v>145.06537804489398</v>
      </c>
      <c r="F58" s="46">
        <f ca="1">MAX(NORMINV(RAND(),'Collected Data'!M$4,'Collected Data'!M$5),0)</f>
        <v>127.18736454542338</v>
      </c>
    </row>
    <row r="59" spans="1:6">
      <c r="A59" s="43">
        <v>58</v>
      </c>
      <c r="B59" s="46">
        <f ca="1">MAX(NORMINV(RAND(),'Collected Data'!I$4,'Collected Data'!I$5),0)</f>
        <v>15.479078296959139</v>
      </c>
      <c r="C59" s="46">
        <f ca="1">MAX(NORMINV(RAND(),'Collected Data'!J$4,'Collected Data'!J$5),0)</f>
        <v>90.681180039953162</v>
      </c>
      <c r="D59" s="46">
        <f ca="1">MAX(NORMINV(RAND(),'Collected Data'!K$4,'Collected Data'!K$5),0)</f>
        <v>72.533699804043721</v>
      </c>
      <c r="E59" s="46">
        <f ca="1">MAX(NORMINV(RAND(),'Collected Data'!L$4,'Collected Data'!L$5),0)</f>
        <v>67.127567457449999</v>
      </c>
      <c r="F59" s="46">
        <f ca="1">MAX(NORMINV(RAND(),'Collected Data'!M$4,'Collected Data'!M$5),0)</f>
        <v>92.384860010082576</v>
      </c>
    </row>
    <row r="60" spans="1:6">
      <c r="A60" s="43">
        <v>59</v>
      </c>
      <c r="B60" s="46">
        <f ca="1">MAX(NORMINV(RAND(),'Collected Data'!I$4,'Collected Data'!I$5),0)</f>
        <v>20.809651576518981</v>
      </c>
      <c r="C60" s="46">
        <f ca="1">MAX(NORMINV(RAND(),'Collected Data'!J$4,'Collected Data'!J$5),0)</f>
        <v>100.29534747735775</v>
      </c>
      <c r="D60" s="46">
        <f ca="1">MAX(NORMINV(RAND(),'Collected Data'!K$4,'Collected Data'!K$5),0)</f>
        <v>59.808726658755425</v>
      </c>
      <c r="E60" s="46">
        <f ca="1">MAX(NORMINV(RAND(),'Collected Data'!L$4,'Collected Data'!L$5),0)</f>
        <v>20.149898066685452</v>
      </c>
      <c r="F60" s="46">
        <f ca="1">MAX(NORMINV(RAND(),'Collected Data'!M$4,'Collected Data'!M$5),0)</f>
        <v>94.023116344246873</v>
      </c>
    </row>
    <row r="61" spans="1:6">
      <c r="A61" s="43">
        <v>60</v>
      </c>
      <c r="B61" s="46">
        <f ca="1">MAX(NORMINV(RAND(),'Collected Data'!I$4,'Collected Data'!I$5),0)</f>
        <v>28.047338162412505</v>
      </c>
      <c r="C61" s="46">
        <f ca="1">MAX(NORMINV(RAND(),'Collected Data'!J$4,'Collected Data'!J$5),0)</f>
        <v>60.039171135998146</v>
      </c>
      <c r="D61" s="46">
        <f ca="1">MAX(NORMINV(RAND(),'Collected Data'!K$4,'Collected Data'!K$5),0)</f>
        <v>41.188259047664602</v>
      </c>
      <c r="E61" s="46">
        <f ca="1">MAX(NORMINV(RAND(),'Collected Data'!L$4,'Collected Data'!L$5),0)</f>
        <v>180.22390517083514</v>
      </c>
      <c r="F61" s="46">
        <f ca="1">MAX(NORMINV(RAND(),'Collected Data'!M$4,'Collected Data'!M$5),0)</f>
        <v>88.210076493352943</v>
      </c>
    </row>
    <row r="62" spans="1:6">
      <c r="A62" s="43">
        <v>61</v>
      </c>
      <c r="B62" s="46">
        <f ca="1">MAX(NORMINV(RAND(),'Collected Data'!I$4,'Collected Data'!I$5),0)</f>
        <v>7.6301940716837002</v>
      </c>
      <c r="C62" s="46">
        <f ca="1">MAX(NORMINV(RAND(),'Collected Data'!J$4,'Collected Data'!J$5),0)</f>
        <v>78.704542997871556</v>
      </c>
      <c r="D62" s="46">
        <f ca="1">MAX(NORMINV(RAND(),'Collected Data'!K$4,'Collected Data'!K$5),0)</f>
        <v>142.43628922617629</v>
      </c>
      <c r="E62" s="46">
        <f ca="1">MAX(NORMINV(RAND(),'Collected Data'!L$4,'Collected Data'!L$5),0)</f>
        <v>0</v>
      </c>
      <c r="F62" s="46">
        <f ca="1">MAX(NORMINV(RAND(),'Collected Data'!M$4,'Collected Data'!M$5),0)</f>
        <v>92.832308057690753</v>
      </c>
    </row>
    <row r="63" spans="1:6">
      <c r="A63" s="43">
        <v>62</v>
      </c>
      <c r="B63" s="46">
        <f ca="1">MAX(NORMINV(RAND(),'Collected Data'!I$4,'Collected Data'!I$5),0)</f>
        <v>15.441914646718569</v>
      </c>
      <c r="C63" s="46">
        <f ca="1">MAX(NORMINV(RAND(),'Collected Data'!J$4,'Collected Data'!J$5),0)</f>
        <v>66.436812335327971</v>
      </c>
      <c r="D63" s="46">
        <f ca="1">MAX(NORMINV(RAND(),'Collected Data'!K$4,'Collected Data'!K$5),0)</f>
        <v>116.99016004035448</v>
      </c>
      <c r="E63" s="46">
        <f ca="1">MAX(NORMINV(RAND(),'Collected Data'!L$4,'Collected Data'!L$5),0)</f>
        <v>60.920109088633168</v>
      </c>
      <c r="F63" s="46">
        <f ca="1">MAX(NORMINV(RAND(),'Collected Data'!M$4,'Collected Data'!M$5),0)</f>
        <v>121.26954960559834</v>
      </c>
    </row>
    <row r="64" spans="1:6">
      <c r="A64" s="43">
        <v>63</v>
      </c>
      <c r="B64" s="46">
        <f ca="1">MAX(NORMINV(RAND(),'Collected Data'!I$4,'Collected Data'!I$5),0)</f>
        <v>2.5114366673031547</v>
      </c>
      <c r="C64" s="46">
        <f ca="1">MAX(NORMINV(RAND(),'Collected Data'!J$4,'Collected Data'!J$5),0)</f>
        <v>54.188181034756902</v>
      </c>
      <c r="D64" s="46">
        <f ca="1">MAX(NORMINV(RAND(),'Collected Data'!K$4,'Collected Data'!K$5),0)</f>
        <v>4.0999296730135626</v>
      </c>
      <c r="E64" s="46">
        <f ca="1">MAX(NORMINV(RAND(),'Collected Data'!L$4,'Collected Data'!L$5),0)</f>
        <v>82.488431528445702</v>
      </c>
      <c r="F64" s="46">
        <f ca="1">MAX(NORMINV(RAND(),'Collected Data'!M$4,'Collected Data'!M$5),0)</f>
        <v>174.88021207434588</v>
      </c>
    </row>
    <row r="65" spans="1:6">
      <c r="A65" s="43">
        <v>64</v>
      </c>
      <c r="B65" s="46">
        <f ca="1">MAX(NORMINV(RAND(),'Collected Data'!I$4,'Collected Data'!I$5),0)</f>
        <v>13.584402524782753</v>
      </c>
      <c r="C65" s="46">
        <f ca="1">MAX(NORMINV(RAND(),'Collected Data'!J$4,'Collected Data'!J$5),0)</f>
        <v>106.20796181724575</v>
      </c>
      <c r="D65" s="46">
        <f ca="1">MAX(NORMINV(RAND(),'Collected Data'!K$4,'Collected Data'!K$5),0)</f>
        <v>90.030846372787607</v>
      </c>
      <c r="E65" s="46">
        <f ca="1">MAX(NORMINV(RAND(),'Collected Data'!L$4,'Collected Data'!L$5),0)</f>
        <v>108.1930003637213</v>
      </c>
      <c r="F65" s="46">
        <f ca="1">MAX(NORMINV(RAND(),'Collected Data'!M$4,'Collected Data'!M$5),0)</f>
        <v>86.454554400390961</v>
      </c>
    </row>
    <row r="66" spans="1:6">
      <c r="A66" s="43">
        <v>65</v>
      </c>
      <c r="B66" s="46">
        <f ca="1">MAX(NORMINV(RAND(),'Collected Data'!I$4,'Collected Data'!I$5),0)</f>
        <v>8.63387466072348</v>
      </c>
      <c r="C66" s="46">
        <f ca="1">MAX(NORMINV(RAND(),'Collected Data'!J$4,'Collected Data'!J$5),0)</f>
        <v>96.698875869495566</v>
      </c>
      <c r="D66" s="46">
        <f ca="1">MAX(NORMINV(RAND(),'Collected Data'!K$4,'Collected Data'!K$5),0)</f>
        <v>124.24860994892724</v>
      </c>
      <c r="E66" s="46">
        <f ca="1">MAX(NORMINV(RAND(),'Collected Data'!L$4,'Collected Data'!L$5),0)</f>
        <v>22.272628774203795</v>
      </c>
      <c r="F66" s="46">
        <f ca="1">MAX(NORMINV(RAND(),'Collected Data'!M$4,'Collected Data'!M$5),0)</f>
        <v>120.59431798057199</v>
      </c>
    </row>
    <row r="67" spans="1:6">
      <c r="A67" s="43">
        <v>66</v>
      </c>
      <c r="B67" s="46">
        <f ca="1">MAX(NORMINV(RAND(),'Collected Data'!I$4,'Collected Data'!I$5),0)</f>
        <v>16.792628471528872</v>
      </c>
      <c r="C67" s="46">
        <f ca="1">MAX(NORMINV(RAND(),'Collected Data'!J$4,'Collected Data'!J$5),0)</f>
        <v>52.81497372525088</v>
      </c>
      <c r="D67" s="46">
        <f ca="1">MAX(NORMINV(RAND(),'Collected Data'!K$4,'Collected Data'!K$5),0)</f>
        <v>1.8629958346054849</v>
      </c>
      <c r="E67" s="46">
        <f ca="1">MAX(NORMINV(RAND(),'Collected Data'!L$4,'Collected Data'!L$5),0)</f>
        <v>86.907410730092522</v>
      </c>
      <c r="F67" s="46">
        <f ca="1">MAX(NORMINV(RAND(),'Collected Data'!M$4,'Collected Data'!M$5),0)</f>
        <v>68.599160741187859</v>
      </c>
    </row>
    <row r="68" spans="1:6">
      <c r="A68" s="43">
        <v>67</v>
      </c>
      <c r="B68" s="46">
        <f ca="1">MAX(NORMINV(RAND(),'Collected Data'!I$4,'Collected Data'!I$5),0)</f>
        <v>29.75357773234964</v>
      </c>
      <c r="C68" s="46">
        <f ca="1">MAX(NORMINV(RAND(),'Collected Data'!J$4,'Collected Data'!J$5),0)</f>
        <v>99.671215097841994</v>
      </c>
      <c r="D68" s="46">
        <f ca="1">MAX(NORMINV(RAND(),'Collected Data'!K$4,'Collected Data'!K$5),0)</f>
        <v>72.108587853915722</v>
      </c>
      <c r="E68" s="46">
        <f ca="1">MAX(NORMINV(RAND(),'Collected Data'!L$4,'Collected Data'!L$5),0)</f>
        <v>169.31709295042435</v>
      </c>
      <c r="F68" s="46">
        <f ca="1">MAX(NORMINV(RAND(),'Collected Data'!M$4,'Collected Data'!M$5),0)</f>
        <v>79.220567636464764</v>
      </c>
    </row>
    <row r="69" spans="1:6">
      <c r="A69" s="43">
        <v>68</v>
      </c>
      <c r="B69" s="46">
        <f ca="1">MAX(NORMINV(RAND(),'Collected Data'!I$4,'Collected Data'!I$5),0)</f>
        <v>7.728202509297315</v>
      </c>
      <c r="C69" s="46">
        <f ca="1">MAX(NORMINV(RAND(),'Collected Data'!J$4,'Collected Data'!J$5),0)</f>
        <v>85.717651087639766</v>
      </c>
      <c r="D69" s="46">
        <f ca="1">MAX(NORMINV(RAND(),'Collected Data'!K$4,'Collected Data'!K$5),0)</f>
        <v>150.95765167757099</v>
      </c>
      <c r="E69" s="46">
        <f ca="1">MAX(NORMINV(RAND(),'Collected Data'!L$4,'Collected Data'!L$5),0)</f>
        <v>104.22253673281929</v>
      </c>
      <c r="F69" s="46">
        <f ca="1">MAX(NORMINV(RAND(),'Collected Data'!M$4,'Collected Data'!M$5),0)</f>
        <v>95.090221347395897</v>
      </c>
    </row>
    <row r="70" spans="1:6">
      <c r="A70" s="43">
        <v>69</v>
      </c>
      <c r="B70" s="46">
        <f ca="1">MAX(NORMINV(RAND(),'Collected Data'!I$4,'Collected Data'!I$5),0)</f>
        <v>19.002189201933696</v>
      </c>
      <c r="C70" s="46">
        <f ca="1">MAX(NORMINV(RAND(),'Collected Data'!J$4,'Collected Data'!J$5),0)</f>
        <v>41.492298915420655</v>
      </c>
      <c r="D70" s="46">
        <f ca="1">MAX(NORMINV(RAND(),'Collected Data'!K$4,'Collected Data'!K$5),0)</f>
        <v>63.098909021666017</v>
      </c>
      <c r="E70" s="46">
        <f ca="1">MAX(NORMINV(RAND(),'Collected Data'!L$4,'Collected Data'!L$5),0)</f>
        <v>119.65540254532468</v>
      </c>
      <c r="F70" s="46">
        <f ca="1">MAX(NORMINV(RAND(),'Collected Data'!M$4,'Collected Data'!M$5),0)</f>
        <v>110.57158867470551</v>
      </c>
    </row>
    <row r="71" spans="1:6">
      <c r="A71" s="43">
        <v>70</v>
      </c>
      <c r="B71" s="46">
        <f ca="1">MAX(NORMINV(RAND(),'Collected Data'!I$4,'Collected Data'!I$5),0)</f>
        <v>17.533014477596836</v>
      </c>
      <c r="C71" s="46">
        <f ca="1">MAX(NORMINV(RAND(),'Collected Data'!J$4,'Collected Data'!J$5),0)</f>
        <v>96.580966411384793</v>
      </c>
      <c r="D71" s="46">
        <f ca="1">MAX(NORMINV(RAND(),'Collected Data'!K$4,'Collected Data'!K$5),0)</f>
        <v>52.618202269767224</v>
      </c>
      <c r="E71" s="46">
        <f ca="1">MAX(NORMINV(RAND(),'Collected Data'!L$4,'Collected Data'!L$5),0)</f>
        <v>168.62712303055287</v>
      </c>
      <c r="F71" s="46">
        <f ca="1">MAX(NORMINV(RAND(),'Collected Data'!M$4,'Collected Data'!M$5),0)</f>
        <v>119.19235638527481</v>
      </c>
    </row>
    <row r="72" spans="1:6">
      <c r="A72" s="43">
        <v>71</v>
      </c>
      <c r="B72" s="46">
        <f ca="1">MAX(NORMINV(RAND(),'Collected Data'!I$4,'Collected Data'!I$5),0)</f>
        <v>33.748946507955885</v>
      </c>
      <c r="C72" s="46">
        <f ca="1">MAX(NORMINV(RAND(),'Collected Data'!J$4,'Collected Data'!J$5),0)</f>
        <v>52.576158865982741</v>
      </c>
      <c r="D72" s="46">
        <f ca="1">MAX(NORMINV(RAND(),'Collected Data'!K$4,'Collected Data'!K$5),0)</f>
        <v>49.160513905258931</v>
      </c>
      <c r="E72" s="46">
        <f ca="1">MAX(NORMINV(RAND(),'Collected Data'!L$4,'Collected Data'!L$5),0)</f>
        <v>5.7991998059363539</v>
      </c>
      <c r="F72" s="46">
        <f ca="1">MAX(NORMINV(RAND(),'Collected Data'!M$4,'Collected Data'!M$5),0)</f>
        <v>129.27531299434997</v>
      </c>
    </row>
    <row r="73" spans="1:6">
      <c r="A73" s="43">
        <v>72</v>
      </c>
      <c r="B73" s="46">
        <f ca="1">MAX(NORMINV(RAND(),'Collected Data'!I$4,'Collected Data'!I$5),0)</f>
        <v>14.954429768908785</v>
      </c>
      <c r="C73" s="46">
        <f ca="1">MAX(NORMINV(RAND(),'Collected Data'!J$4,'Collected Data'!J$5),0)</f>
        <v>91.748905025665294</v>
      </c>
      <c r="D73" s="46">
        <f ca="1">MAX(NORMINV(RAND(),'Collected Data'!K$4,'Collected Data'!K$5),0)</f>
        <v>172.51841773460117</v>
      </c>
      <c r="E73" s="46">
        <f ca="1">MAX(NORMINV(RAND(),'Collected Data'!L$4,'Collected Data'!L$5),0)</f>
        <v>58.266391817902999</v>
      </c>
      <c r="F73" s="46">
        <f ca="1">MAX(NORMINV(RAND(),'Collected Data'!M$4,'Collected Data'!M$5),0)</f>
        <v>88.41696526095356</v>
      </c>
    </row>
    <row r="74" spans="1:6">
      <c r="A74" s="43">
        <v>73</v>
      </c>
      <c r="B74" s="46">
        <f ca="1">MAX(NORMINV(RAND(),'Collected Data'!I$4,'Collected Data'!I$5),0)</f>
        <v>3.5381009157583083</v>
      </c>
      <c r="C74" s="46">
        <f ca="1">MAX(NORMINV(RAND(),'Collected Data'!J$4,'Collected Data'!J$5),0)</f>
        <v>110.96676832921544</v>
      </c>
      <c r="D74" s="46">
        <f ca="1">MAX(NORMINV(RAND(),'Collected Data'!K$4,'Collected Data'!K$5),0)</f>
        <v>168.89513148656522</v>
      </c>
      <c r="E74" s="46">
        <f ca="1">MAX(NORMINV(RAND(),'Collected Data'!L$4,'Collected Data'!L$5),0)</f>
        <v>0</v>
      </c>
      <c r="F74" s="46">
        <f ca="1">MAX(NORMINV(RAND(),'Collected Data'!M$4,'Collected Data'!M$5),0)</f>
        <v>131.01496537454651</v>
      </c>
    </row>
    <row r="75" spans="1:6">
      <c r="A75" s="43">
        <v>74</v>
      </c>
      <c r="B75" s="46">
        <f ca="1">MAX(NORMINV(RAND(),'Collected Data'!I$4,'Collected Data'!I$5),0)</f>
        <v>13.898600350633771</v>
      </c>
      <c r="C75" s="46">
        <f ca="1">MAX(NORMINV(RAND(),'Collected Data'!J$4,'Collected Data'!J$5),0)</f>
        <v>99.986467410921904</v>
      </c>
      <c r="D75" s="46">
        <f ca="1">MAX(NORMINV(RAND(),'Collected Data'!K$4,'Collected Data'!K$5),0)</f>
        <v>22.699457351135564</v>
      </c>
      <c r="E75" s="46">
        <f ca="1">MAX(NORMINV(RAND(),'Collected Data'!L$4,'Collected Data'!L$5),0)</f>
        <v>79.392010987336675</v>
      </c>
      <c r="F75" s="46">
        <f ca="1">MAX(NORMINV(RAND(),'Collected Data'!M$4,'Collected Data'!M$5),0)</f>
        <v>148.69607988151827</v>
      </c>
    </row>
    <row r="76" spans="1:6">
      <c r="A76" s="43">
        <v>75</v>
      </c>
      <c r="B76" s="46">
        <f ca="1">MAX(NORMINV(RAND(),'Collected Data'!I$4,'Collected Data'!I$5),0)</f>
        <v>15.160031336637646</v>
      </c>
      <c r="C76" s="46">
        <f ca="1">MAX(NORMINV(RAND(),'Collected Data'!J$4,'Collected Data'!J$5),0)</f>
        <v>85.374023828385162</v>
      </c>
      <c r="D76" s="46">
        <f ca="1">MAX(NORMINV(RAND(),'Collected Data'!K$4,'Collected Data'!K$5),0)</f>
        <v>119.60302440006826</v>
      </c>
      <c r="E76" s="46">
        <f ca="1">MAX(NORMINV(RAND(),'Collected Data'!L$4,'Collected Data'!L$5),0)</f>
        <v>97.976458531564319</v>
      </c>
      <c r="F76" s="46">
        <f ca="1">MAX(NORMINV(RAND(),'Collected Data'!M$4,'Collected Data'!M$5),0)</f>
        <v>83.414645262732506</v>
      </c>
    </row>
    <row r="77" spans="1:6">
      <c r="A77" s="43">
        <v>76</v>
      </c>
      <c r="B77" s="46">
        <f ca="1">MAX(NORMINV(RAND(),'Collected Data'!I$4,'Collected Data'!I$5),0)</f>
        <v>25.526999239243985</v>
      </c>
      <c r="C77" s="46">
        <f ca="1">MAX(NORMINV(RAND(),'Collected Data'!J$4,'Collected Data'!J$5),0)</f>
        <v>73.333717556099458</v>
      </c>
      <c r="D77" s="46">
        <f ca="1">MAX(NORMINV(RAND(),'Collected Data'!K$4,'Collected Data'!K$5),0)</f>
        <v>92.753705559598487</v>
      </c>
      <c r="E77" s="46">
        <f ca="1">MAX(NORMINV(RAND(),'Collected Data'!L$4,'Collected Data'!L$5),0)</f>
        <v>98.746689040640561</v>
      </c>
      <c r="F77" s="46">
        <f ca="1">MAX(NORMINV(RAND(),'Collected Data'!M$4,'Collected Data'!M$5),0)</f>
        <v>61.650206569979986</v>
      </c>
    </row>
    <row r="78" spans="1:6">
      <c r="A78" s="43">
        <v>77</v>
      </c>
      <c r="B78" s="46">
        <f ca="1">MAX(NORMINV(RAND(),'Collected Data'!I$4,'Collected Data'!I$5),0)</f>
        <v>27.788460949630277</v>
      </c>
      <c r="C78" s="46">
        <f ca="1">MAX(NORMINV(RAND(),'Collected Data'!J$4,'Collected Data'!J$5),0)</f>
        <v>123.58976911078577</v>
      </c>
      <c r="D78" s="46">
        <f ca="1">MAX(NORMINV(RAND(),'Collected Data'!K$4,'Collected Data'!K$5),0)</f>
        <v>54.194485694031947</v>
      </c>
      <c r="E78" s="46">
        <f ca="1">MAX(NORMINV(RAND(),'Collected Data'!L$4,'Collected Data'!L$5),0)</f>
        <v>15.285132918499968</v>
      </c>
      <c r="F78" s="46">
        <f ca="1">MAX(NORMINV(RAND(),'Collected Data'!M$4,'Collected Data'!M$5),0)</f>
        <v>121.33612704548919</v>
      </c>
    </row>
    <row r="79" spans="1:6">
      <c r="A79" s="43">
        <v>78</v>
      </c>
      <c r="B79" s="46">
        <f ca="1">MAX(NORMINV(RAND(),'Collected Data'!I$4,'Collected Data'!I$5),0)</f>
        <v>32.034029854980346</v>
      </c>
      <c r="C79" s="46">
        <f ca="1">MAX(NORMINV(RAND(),'Collected Data'!J$4,'Collected Data'!J$5),0)</f>
        <v>68.955740711480118</v>
      </c>
      <c r="D79" s="46">
        <f ca="1">MAX(NORMINV(RAND(),'Collected Data'!K$4,'Collected Data'!K$5),0)</f>
        <v>66.352490372938405</v>
      </c>
      <c r="E79" s="46">
        <f ca="1">MAX(NORMINV(RAND(),'Collected Data'!L$4,'Collected Data'!L$5),0)</f>
        <v>146.54053168910309</v>
      </c>
      <c r="F79" s="46">
        <f ca="1">MAX(NORMINV(RAND(),'Collected Data'!M$4,'Collected Data'!M$5),0)</f>
        <v>37.045644166122493</v>
      </c>
    </row>
    <row r="80" spans="1:6">
      <c r="A80" s="43">
        <v>79</v>
      </c>
      <c r="B80" s="46">
        <f ca="1">MAX(NORMINV(RAND(),'Collected Data'!I$4,'Collected Data'!I$5),0)</f>
        <v>16.195639938637495</v>
      </c>
      <c r="C80" s="46">
        <f ca="1">MAX(NORMINV(RAND(),'Collected Data'!J$4,'Collected Data'!J$5),0)</f>
        <v>137.24591201958145</v>
      </c>
      <c r="D80" s="46">
        <f ca="1">MAX(NORMINV(RAND(),'Collected Data'!K$4,'Collected Data'!K$5),0)</f>
        <v>132.95092063757798</v>
      </c>
      <c r="E80" s="46">
        <f ca="1">MAX(NORMINV(RAND(),'Collected Data'!L$4,'Collected Data'!L$5),0)</f>
        <v>25.703606072147451</v>
      </c>
      <c r="F80" s="46">
        <f ca="1">MAX(NORMINV(RAND(),'Collected Data'!M$4,'Collected Data'!M$5),0)</f>
        <v>93.801617595445222</v>
      </c>
    </row>
    <row r="81" spans="1:6">
      <c r="A81" s="43">
        <v>80</v>
      </c>
      <c r="B81" s="46">
        <f ca="1">MAX(NORMINV(RAND(),'Collected Data'!I$4,'Collected Data'!I$5),0)</f>
        <v>12.383674436768246</v>
      </c>
      <c r="C81" s="46">
        <f ca="1">MAX(NORMINV(RAND(),'Collected Data'!J$4,'Collected Data'!J$5),0)</f>
        <v>40.632295925519479</v>
      </c>
      <c r="D81" s="46">
        <f ca="1">MAX(NORMINV(RAND(),'Collected Data'!K$4,'Collected Data'!K$5),0)</f>
        <v>182.03637464397923</v>
      </c>
      <c r="E81" s="46">
        <f ca="1">MAX(NORMINV(RAND(),'Collected Data'!L$4,'Collected Data'!L$5),0)</f>
        <v>45.370300426579732</v>
      </c>
      <c r="F81" s="46">
        <f ca="1">MAX(NORMINV(RAND(),'Collected Data'!M$4,'Collected Data'!M$5),0)</f>
        <v>157.83143675207751</v>
      </c>
    </row>
    <row r="82" spans="1:6">
      <c r="A82" s="43">
        <v>81</v>
      </c>
      <c r="B82" s="46">
        <f ca="1">MAX(NORMINV(RAND(),'Collected Data'!I$4,'Collected Data'!I$5),0)</f>
        <v>9.8151233538784624</v>
      </c>
      <c r="C82" s="46">
        <f ca="1">MAX(NORMINV(RAND(),'Collected Data'!J$4,'Collected Data'!J$5),0)</f>
        <v>115.9072307368933</v>
      </c>
      <c r="D82" s="46">
        <f ca="1">MAX(NORMINV(RAND(),'Collected Data'!K$4,'Collected Data'!K$5),0)</f>
        <v>49.559815735000662</v>
      </c>
      <c r="E82" s="46">
        <f ca="1">MAX(NORMINV(RAND(),'Collected Data'!L$4,'Collected Data'!L$5),0)</f>
        <v>127.62396752440597</v>
      </c>
      <c r="F82" s="46">
        <f ca="1">MAX(NORMINV(RAND(),'Collected Data'!M$4,'Collected Data'!M$5),0)</f>
        <v>97.651914300532908</v>
      </c>
    </row>
    <row r="83" spans="1:6">
      <c r="A83" s="43">
        <v>82</v>
      </c>
      <c r="B83" s="46">
        <f ca="1">MAX(NORMINV(RAND(),'Collected Data'!I$4,'Collected Data'!I$5),0)</f>
        <v>18.868197969697988</v>
      </c>
      <c r="C83" s="46">
        <f ca="1">MAX(NORMINV(RAND(),'Collected Data'!J$4,'Collected Data'!J$5),0)</f>
        <v>127.18061189761123</v>
      </c>
      <c r="D83" s="46">
        <f ca="1">MAX(NORMINV(RAND(),'Collected Data'!K$4,'Collected Data'!K$5),0)</f>
        <v>52.79815236995973</v>
      </c>
      <c r="E83" s="46">
        <f ca="1">MAX(NORMINV(RAND(),'Collected Data'!L$4,'Collected Data'!L$5),0)</f>
        <v>100.65413738212094</v>
      </c>
      <c r="F83" s="46">
        <f ca="1">MAX(NORMINV(RAND(),'Collected Data'!M$4,'Collected Data'!M$5),0)</f>
        <v>35.106041763942422</v>
      </c>
    </row>
    <row r="84" spans="1:6">
      <c r="A84" s="43">
        <v>83</v>
      </c>
      <c r="B84" s="46">
        <f ca="1">MAX(NORMINV(RAND(),'Collected Data'!I$4,'Collected Data'!I$5),0)</f>
        <v>13.551711074037486</v>
      </c>
      <c r="C84" s="46">
        <f ca="1">MAX(NORMINV(RAND(),'Collected Data'!J$4,'Collected Data'!J$5),0)</f>
        <v>133.14249398970807</v>
      </c>
      <c r="D84" s="46">
        <f ca="1">MAX(NORMINV(RAND(),'Collected Data'!K$4,'Collected Data'!K$5),0)</f>
        <v>108.3098940742983</v>
      </c>
      <c r="E84" s="46">
        <f ca="1">MAX(NORMINV(RAND(),'Collected Data'!L$4,'Collected Data'!L$5),0)</f>
        <v>91.791812935878852</v>
      </c>
      <c r="F84" s="46">
        <f ca="1">MAX(NORMINV(RAND(),'Collected Data'!M$4,'Collected Data'!M$5),0)</f>
        <v>25.28770655767498</v>
      </c>
    </row>
    <row r="85" spans="1:6">
      <c r="A85" s="43">
        <v>84</v>
      </c>
      <c r="B85" s="46">
        <f ca="1">MAX(NORMINV(RAND(),'Collected Data'!I$4,'Collected Data'!I$5),0)</f>
        <v>14.930440529477089</v>
      </c>
      <c r="C85" s="46">
        <f ca="1">MAX(NORMINV(RAND(),'Collected Data'!J$4,'Collected Data'!J$5),0)</f>
        <v>106.9378431289739</v>
      </c>
      <c r="D85" s="46">
        <f ca="1">MAX(NORMINV(RAND(),'Collected Data'!K$4,'Collected Data'!K$5),0)</f>
        <v>115.25694192034776</v>
      </c>
      <c r="E85" s="46">
        <f ca="1">MAX(NORMINV(RAND(),'Collected Data'!L$4,'Collected Data'!L$5),0)</f>
        <v>100.78151907249425</v>
      </c>
      <c r="F85" s="46">
        <f ca="1">MAX(NORMINV(RAND(),'Collected Data'!M$4,'Collected Data'!M$5),0)</f>
        <v>151.5209760851962</v>
      </c>
    </row>
    <row r="86" spans="1:6">
      <c r="A86" s="43">
        <v>85</v>
      </c>
      <c r="B86" s="46">
        <f ca="1">MAX(NORMINV(RAND(),'Collected Data'!I$4,'Collected Data'!I$5),0)</f>
        <v>17.759022422896301</v>
      </c>
      <c r="C86" s="46">
        <f ca="1">MAX(NORMINV(RAND(),'Collected Data'!J$4,'Collected Data'!J$5),0)</f>
        <v>146.15434674942057</v>
      </c>
      <c r="D86" s="46">
        <f ca="1">MAX(NORMINV(RAND(),'Collected Data'!K$4,'Collected Data'!K$5),0)</f>
        <v>209.85523420944898</v>
      </c>
      <c r="E86" s="46">
        <f ca="1">MAX(NORMINV(RAND(),'Collected Data'!L$4,'Collected Data'!L$5),0)</f>
        <v>46.176205227780805</v>
      </c>
      <c r="F86" s="46">
        <f ca="1">MAX(NORMINV(RAND(),'Collected Data'!M$4,'Collected Data'!M$5),0)</f>
        <v>156.38728502349488</v>
      </c>
    </row>
    <row r="87" spans="1:6">
      <c r="A87" s="43">
        <v>86</v>
      </c>
      <c r="B87" s="46">
        <f ca="1">MAX(NORMINV(RAND(),'Collected Data'!I$4,'Collected Data'!I$5),0)</f>
        <v>34.499699004189168</v>
      </c>
      <c r="C87" s="46">
        <f ca="1">MAX(NORMINV(RAND(),'Collected Data'!J$4,'Collected Data'!J$5),0)</f>
        <v>54.646204733671276</v>
      </c>
      <c r="D87" s="46">
        <f ca="1">MAX(NORMINV(RAND(),'Collected Data'!K$4,'Collected Data'!K$5),0)</f>
        <v>48.980069090466806</v>
      </c>
      <c r="E87" s="46">
        <f ca="1">MAX(NORMINV(RAND(),'Collected Data'!L$4,'Collected Data'!L$5),0)</f>
        <v>131.5436527584103</v>
      </c>
      <c r="F87" s="46">
        <f ca="1">MAX(NORMINV(RAND(),'Collected Data'!M$4,'Collected Data'!M$5),0)</f>
        <v>108.82617615653109</v>
      </c>
    </row>
    <row r="88" spans="1:6">
      <c r="A88" s="43">
        <v>87</v>
      </c>
      <c r="B88" s="46">
        <f ca="1">MAX(NORMINV(RAND(),'Collected Data'!I$4,'Collected Data'!I$5),0)</f>
        <v>9.1701279658234593</v>
      </c>
      <c r="C88" s="46">
        <f ca="1">MAX(NORMINV(RAND(),'Collected Data'!J$4,'Collected Data'!J$5),0)</f>
        <v>111.68920681277152</v>
      </c>
      <c r="D88" s="46">
        <f ca="1">MAX(NORMINV(RAND(),'Collected Data'!K$4,'Collected Data'!K$5),0)</f>
        <v>177.00176679689861</v>
      </c>
      <c r="E88" s="46">
        <f ca="1">MAX(NORMINV(RAND(),'Collected Data'!L$4,'Collected Data'!L$5),0)</f>
        <v>96.244753604447723</v>
      </c>
      <c r="F88" s="46">
        <f ca="1">MAX(NORMINV(RAND(),'Collected Data'!M$4,'Collected Data'!M$5),0)</f>
        <v>92.109796724871046</v>
      </c>
    </row>
    <row r="89" spans="1:6">
      <c r="A89" s="43">
        <v>88</v>
      </c>
      <c r="B89" s="46">
        <f ca="1">MAX(NORMINV(RAND(),'Collected Data'!I$4,'Collected Data'!I$5),0)</f>
        <v>18.783365372550062</v>
      </c>
      <c r="C89" s="46">
        <f ca="1">MAX(NORMINV(RAND(),'Collected Data'!J$4,'Collected Data'!J$5),0)</f>
        <v>58.223573934468916</v>
      </c>
      <c r="D89" s="46">
        <f ca="1">MAX(NORMINV(RAND(),'Collected Data'!K$4,'Collected Data'!K$5),0)</f>
        <v>104.37048622753417</v>
      </c>
      <c r="E89" s="46">
        <f ca="1">MAX(NORMINV(RAND(),'Collected Data'!L$4,'Collected Data'!L$5),0)</f>
        <v>78.846714741504968</v>
      </c>
      <c r="F89" s="46">
        <f ca="1">MAX(NORMINV(RAND(),'Collected Data'!M$4,'Collected Data'!M$5),0)</f>
        <v>104.30412641515886</v>
      </c>
    </row>
    <row r="90" spans="1:6">
      <c r="A90" s="43">
        <v>89</v>
      </c>
      <c r="B90" s="46">
        <f ca="1">MAX(NORMINV(RAND(),'Collected Data'!I$4,'Collected Data'!I$5),0)</f>
        <v>10.540000856907062</v>
      </c>
      <c r="C90" s="46">
        <f ca="1">MAX(NORMINV(RAND(),'Collected Data'!J$4,'Collected Data'!J$5),0)</f>
        <v>78.472254321058415</v>
      </c>
      <c r="D90" s="46">
        <f ca="1">MAX(NORMINV(RAND(),'Collected Data'!K$4,'Collected Data'!K$5),0)</f>
        <v>108.40843318808841</v>
      </c>
      <c r="E90" s="46">
        <f ca="1">MAX(NORMINV(RAND(),'Collected Data'!L$4,'Collected Data'!L$5),0)</f>
        <v>92.856725491299514</v>
      </c>
      <c r="F90" s="46">
        <f ca="1">MAX(NORMINV(RAND(),'Collected Data'!M$4,'Collected Data'!M$5),0)</f>
        <v>150.4499624791693</v>
      </c>
    </row>
    <row r="91" spans="1:6">
      <c r="A91" s="43">
        <v>90</v>
      </c>
      <c r="B91" s="46">
        <f ca="1">MAX(NORMINV(RAND(),'Collected Data'!I$4,'Collected Data'!I$5),0)</f>
        <v>24.107755648590519</v>
      </c>
      <c r="C91" s="46">
        <f ca="1">MAX(NORMINV(RAND(),'Collected Data'!J$4,'Collected Data'!J$5),0)</f>
        <v>108.53515232828465</v>
      </c>
      <c r="D91" s="46">
        <f ca="1">MAX(NORMINV(RAND(),'Collected Data'!K$4,'Collected Data'!K$5),0)</f>
        <v>112.62162315711822</v>
      </c>
      <c r="E91" s="46">
        <f ca="1">MAX(NORMINV(RAND(),'Collected Data'!L$4,'Collected Data'!L$5),0)</f>
        <v>61.346679934600971</v>
      </c>
      <c r="F91" s="46">
        <f ca="1">MAX(NORMINV(RAND(),'Collected Data'!M$4,'Collected Data'!M$5),0)</f>
        <v>61.686948676928345</v>
      </c>
    </row>
    <row r="92" spans="1:6">
      <c r="A92" s="43">
        <v>91</v>
      </c>
      <c r="B92" s="46">
        <f ca="1">MAX(NORMINV(RAND(),'Collected Data'!I$4,'Collected Data'!I$5),0)</f>
        <v>27.756151322004477</v>
      </c>
      <c r="C92" s="46">
        <f ca="1">MAX(NORMINV(RAND(),'Collected Data'!J$4,'Collected Data'!J$5),0)</f>
        <v>88.450925833388666</v>
      </c>
      <c r="D92" s="46">
        <f ca="1">MAX(NORMINV(RAND(),'Collected Data'!K$4,'Collected Data'!K$5),0)</f>
        <v>137.75345839862766</v>
      </c>
      <c r="E92" s="46">
        <f ca="1">MAX(NORMINV(RAND(),'Collected Data'!L$4,'Collected Data'!L$5),0)</f>
        <v>21.107392323146541</v>
      </c>
      <c r="F92" s="46">
        <f ca="1">MAX(NORMINV(RAND(),'Collected Data'!M$4,'Collected Data'!M$5),0)</f>
        <v>102.56301841773892</v>
      </c>
    </row>
    <row r="93" spans="1:6">
      <c r="A93" s="43">
        <v>92</v>
      </c>
      <c r="B93" s="46">
        <f ca="1">MAX(NORMINV(RAND(),'Collected Data'!I$4,'Collected Data'!I$5),0)</f>
        <v>19.120865690651666</v>
      </c>
      <c r="C93" s="46">
        <f ca="1">MAX(NORMINV(RAND(),'Collected Data'!J$4,'Collected Data'!J$5),0)</f>
        <v>84.856886809457805</v>
      </c>
      <c r="D93" s="46">
        <f ca="1">MAX(NORMINV(RAND(),'Collected Data'!K$4,'Collected Data'!K$5),0)</f>
        <v>14.14373005102324</v>
      </c>
      <c r="E93" s="46">
        <f ca="1">MAX(NORMINV(RAND(),'Collected Data'!L$4,'Collected Data'!L$5),0)</f>
        <v>29.406826855542718</v>
      </c>
      <c r="F93" s="46">
        <f ca="1">MAX(NORMINV(RAND(),'Collected Data'!M$4,'Collected Data'!M$5),0)</f>
        <v>170.02558273055715</v>
      </c>
    </row>
    <row r="94" spans="1:6">
      <c r="A94" s="43">
        <v>93</v>
      </c>
      <c r="B94" s="46">
        <f ca="1">MAX(NORMINV(RAND(),'Collected Data'!I$4,'Collected Data'!I$5),0)</f>
        <v>36.112389422019774</v>
      </c>
      <c r="C94" s="46">
        <f ca="1">MAX(NORMINV(RAND(),'Collected Data'!J$4,'Collected Data'!J$5),0)</f>
        <v>115.10977403257922</v>
      </c>
      <c r="D94" s="46">
        <f ca="1">MAX(NORMINV(RAND(),'Collected Data'!K$4,'Collected Data'!K$5),0)</f>
        <v>36.464804242544467</v>
      </c>
      <c r="E94" s="46">
        <f ca="1">MAX(NORMINV(RAND(),'Collected Data'!L$4,'Collected Data'!L$5),0)</f>
        <v>63.539246223678489</v>
      </c>
      <c r="F94" s="46">
        <f ca="1">MAX(NORMINV(RAND(),'Collected Data'!M$4,'Collected Data'!M$5),0)</f>
        <v>53.213177835597072</v>
      </c>
    </row>
    <row r="95" spans="1:6">
      <c r="A95" s="43">
        <v>94</v>
      </c>
      <c r="B95" s="46">
        <f ca="1">MAX(NORMINV(RAND(),'Collected Data'!I$4,'Collected Data'!I$5),0)</f>
        <v>18.467678081249858</v>
      </c>
      <c r="C95" s="46">
        <f ca="1">MAX(NORMINV(RAND(),'Collected Data'!J$4,'Collected Data'!J$5),0)</f>
        <v>138.63933722953908</v>
      </c>
      <c r="D95" s="46">
        <f ca="1">MAX(NORMINV(RAND(),'Collected Data'!K$4,'Collected Data'!K$5),0)</f>
        <v>214.46995856729927</v>
      </c>
      <c r="E95" s="46">
        <f ca="1">MAX(NORMINV(RAND(),'Collected Data'!L$4,'Collected Data'!L$5),0)</f>
        <v>111.60656667517995</v>
      </c>
      <c r="F95" s="46">
        <f ca="1">MAX(NORMINV(RAND(),'Collected Data'!M$4,'Collected Data'!M$5),0)</f>
        <v>94.390108382893658</v>
      </c>
    </row>
    <row r="96" spans="1:6">
      <c r="A96" s="43">
        <v>95</v>
      </c>
      <c r="B96" s="46">
        <f ca="1">MAX(NORMINV(RAND(),'Collected Data'!I$4,'Collected Data'!I$5),0)</f>
        <v>17.853404475486801</v>
      </c>
      <c r="C96" s="46">
        <f ca="1">MAX(NORMINV(RAND(),'Collected Data'!J$4,'Collected Data'!J$5),0)</f>
        <v>91.776696602845107</v>
      </c>
      <c r="D96" s="46">
        <f ca="1">MAX(NORMINV(RAND(),'Collected Data'!K$4,'Collected Data'!K$5),0)</f>
        <v>152.22875802569038</v>
      </c>
      <c r="E96" s="46">
        <f ca="1">MAX(NORMINV(RAND(),'Collected Data'!L$4,'Collected Data'!L$5),0)</f>
        <v>122.42735257765153</v>
      </c>
      <c r="F96" s="46">
        <f ca="1">MAX(NORMINV(RAND(),'Collected Data'!M$4,'Collected Data'!M$5),0)</f>
        <v>102.10879644134444</v>
      </c>
    </row>
    <row r="97" spans="1:6">
      <c r="A97" s="43">
        <v>96</v>
      </c>
      <c r="B97" s="46">
        <f ca="1">MAX(NORMINV(RAND(),'Collected Data'!I$4,'Collected Data'!I$5),0)</f>
        <v>15.638701990178326</v>
      </c>
      <c r="C97" s="46">
        <f ca="1">MAX(NORMINV(RAND(),'Collected Data'!J$4,'Collected Data'!J$5),0)</f>
        <v>51.487183128524997</v>
      </c>
      <c r="D97" s="46">
        <f ca="1">MAX(NORMINV(RAND(),'Collected Data'!K$4,'Collected Data'!K$5),0)</f>
        <v>0</v>
      </c>
      <c r="E97" s="46">
        <f ca="1">MAX(NORMINV(RAND(),'Collected Data'!L$4,'Collected Data'!L$5),0)</f>
        <v>154.77265345553843</v>
      </c>
      <c r="F97" s="46">
        <f ca="1">MAX(NORMINV(RAND(),'Collected Data'!M$4,'Collected Data'!M$5),0)</f>
        <v>71.229928997261652</v>
      </c>
    </row>
    <row r="98" spans="1:6">
      <c r="A98" s="43">
        <v>97</v>
      </c>
      <c r="B98" s="46">
        <f ca="1">MAX(NORMINV(RAND(),'Collected Data'!I$4,'Collected Data'!I$5),0)</f>
        <v>20.298595534731245</v>
      </c>
      <c r="C98" s="46">
        <f ca="1">MAX(NORMINV(RAND(),'Collected Data'!J$4,'Collected Data'!J$5),0)</f>
        <v>128.37405417631373</v>
      </c>
      <c r="D98" s="46">
        <f ca="1">MAX(NORMINV(RAND(),'Collected Data'!K$4,'Collected Data'!K$5),0)</f>
        <v>90.102287632464964</v>
      </c>
      <c r="E98" s="46">
        <f ca="1">MAX(NORMINV(RAND(),'Collected Data'!L$4,'Collected Data'!L$5),0)</f>
        <v>128.59519723436625</v>
      </c>
      <c r="F98" s="46">
        <f ca="1">MAX(NORMINV(RAND(),'Collected Data'!M$4,'Collected Data'!M$5),0)</f>
        <v>116.12701391139422</v>
      </c>
    </row>
    <row r="99" spans="1:6">
      <c r="A99" s="43">
        <v>98</v>
      </c>
      <c r="B99" s="46">
        <f ca="1">MAX(NORMINV(RAND(),'Collected Data'!I$4,'Collected Data'!I$5),0)</f>
        <v>23.777046635275614</v>
      </c>
      <c r="C99" s="46">
        <f ca="1">MAX(NORMINV(RAND(),'Collected Data'!J$4,'Collected Data'!J$5),0)</f>
        <v>58.338912688088875</v>
      </c>
      <c r="D99" s="46">
        <f ca="1">MAX(NORMINV(RAND(),'Collected Data'!K$4,'Collected Data'!K$5),0)</f>
        <v>109.18850609285769</v>
      </c>
      <c r="E99" s="46">
        <f ca="1">MAX(NORMINV(RAND(),'Collected Data'!L$4,'Collected Data'!L$5),0)</f>
        <v>109.52444006726046</v>
      </c>
      <c r="F99" s="46">
        <f ca="1">MAX(NORMINV(RAND(),'Collected Data'!M$4,'Collected Data'!M$5),0)</f>
        <v>58.845208360129128</v>
      </c>
    </row>
    <row r="100" spans="1:6">
      <c r="A100" s="43">
        <v>99</v>
      </c>
      <c r="B100" s="46">
        <f ca="1">MAX(NORMINV(RAND(),'Collected Data'!I$4,'Collected Data'!I$5),0)</f>
        <v>20.218161656281282</v>
      </c>
      <c r="C100" s="46">
        <f ca="1">MAX(NORMINV(RAND(),'Collected Data'!J$4,'Collected Data'!J$5),0)</f>
        <v>115.19135307482654</v>
      </c>
      <c r="D100" s="46">
        <f ca="1">MAX(NORMINV(RAND(),'Collected Data'!K$4,'Collected Data'!K$5),0)</f>
        <v>170.5133290115219</v>
      </c>
      <c r="E100" s="46">
        <f ca="1">MAX(NORMINV(RAND(),'Collected Data'!L$4,'Collected Data'!L$5),0)</f>
        <v>86.151393237007227</v>
      </c>
      <c r="F100" s="46">
        <f ca="1">MAX(NORMINV(RAND(),'Collected Data'!M$4,'Collected Data'!M$5),0)</f>
        <v>93.293079768016938</v>
      </c>
    </row>
    <row r="101" spans="1:6">
      <c r="A101" s="43">
        <v>100</v>
      </c>
      <c r="B101" s="46">
        <f ca="1">MAX(NORMINV(RAND(),'Collected Data'!I$4,'Collected Data'!I$5),0)</f>
        <v>13.568854175922908</v>
      </c>
      <c r="C101" s="46">
        <f ca="1">MAX(NORMINV(RAND(),'Collected Data'!J$4,'Collected Data'!J$5),0)</f>
        <v>104.04738179920469</v>
      </c>
      <c r="D101" s="46">
        <f ca="1">MAX(NORMINV(RAND(),'Collected Data'!K$4,'Collected Data'!K$5),0)</f>
        <v>102.48150133858</v>
      </c>
      <c r="E101" s="46">
        <f ca="1">MAX(NORMINV(RAND(),'Collected Data'!L$4,'Collected Data'!L$5),0)</f>
        <v>47.362035392101106</v>
      </c>
      <c r="F101" s="46">
        <f ca="1">MAX(NORMINV(RAND(),'Collected Data'!M$4,'Collected Data'!M$5),0)</f>
        <v>78.552534937528506</v>
      </c>
    </row>
  </sheetData>
  <mergeCells count="1">
    <mergeCell ref="H1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Collected Data</vt:lpstr>
      <vt:lpstr>Data Collection</vt:lpstr>
      <vt:lpstr>DATA COLLECTION NEW</vt:lpstr>
      <vt:lpstr>ANOVA</vt:lpstr>
      <vt:lpstr>Simulated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Sharma</dc:creator>
  <cp:lastModifiedBy>Milan Sharma</cp:lastModifiedBy>
  <dcterms:created xsi:type="dcterms:W3CDTF">2026-04-19T13:24:10Z</dcterms:created>
  <dcterms:modified xsi:type="dcterms:W3CDTF">2026-04-19T13:24:18Z</dcterms:modified>
</cp:coreProperties>
</file>