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nton\Downloads\DA1 Project Folder\testing folder\"/>
    </mc:Choice>
  </mc:AlternateContent>
  <xr:revisionPtr revIDLastSave="0" documentId="13_ncr:1_{3471A22C-3299-4F78-8BE6-10123F4A3C98}" xr6:coauthVersionLast="47" xr6:coauthVersionMax="47" xr10:uidLastSave="{00000000-0000-0000-0000-000000000000}"/>
  <bookViews>
    <workbookView xWindow="15264" yWindow="0" windowWidth="15552" windowHeight="19296" firstSheet="1" activeTab="2" xr2:uid="{00000000-000D-0000-FFFF-FFFF00000000}"/>
  </bookViews>
  <sheets>
    <sheet name="Collected Data" sheetId="1" r:id="rId1"/>
    <sheet name="NEW DATA FORMAT" sheetId="2" r:id="rId2"/>
    <sheet name="ANOVA" sheetId="3" r:id="rId3"/>
    <sheet name="Simulated 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1" l="1"/>
  <c r="L12" i="1"/>
  <c r="K12" i="1"/>
  <c r="J12" i="1"/>
  <c r="I12" i="1"/>
  <c r="M11" i="1"/>
  <c r="L11" i="1"/>
  <c r="K11" i="1"/>
  <c r="J11" i="1"/>
  <c r="I11" i="1"/>
  <c r="M10" i="1"/>
  <c r="L10" i="1"/>
  <c r="K10" i="1"/>
  <c r="J10" i="1"/>
  <c r="I10" i="1"/>
  <c r="M8" i="1"/>
  <c r="M9" i="1" s="1"/>
  <c r="L8" i="1"/>
  <c r="L9" i="1" s="1"/>
  <c r="K8" i="1"/>
  <c r="K9" i="1" s="1"/>
  <c r="J8" i="1"/>
  <c r="J9" i="1" s="1"/>
  <c r="I8" i="1"/>
  <c r="I9" i="1" s="1"/>
  <c r="M7" i="1"/>
  <c r="L7" i="1"/>
  <c r="K7" i="1"/>
  <c r="J7" i="1"/>
  <c r="I7" i="1"/>
  <c r="M6" i="1"/>
  <c r="L6" i="1"/>
  <c r="K6" i="1"/>
  <c r="J6" i="1"/>
  <c r="I6" i="1"/>
  <c r="M5" i="1"/>
  <c r="L5" i="1"/>
  <c r="K5" i="1"/>
  <c r="J5" i="1"/>
  <c r="I5" i="1"/>
  <c r="M4" i="1"/>
  <c r="L4" i="1"/>
  <c r="K4" i="1"/>
  <c r="J4" i="1"/>
  <c r="I4" i="1"/>
  <c r="C101" i="4" l="1"/>
  <c r="C97" i="4"/>
  <c r="C93" i="4"/>
  <c r="C89" i="4"/>
  <c r="C85" i="4"/>
  <c r="C81" i="4"/>
  <c r="C77" i="4"/>
  <c r="C73" i="4"/>
  <c r="C69" i="4"/>
  <c r="C65" i="4"/>
  <c r="C61" i="4"/>
  <c r="C57" i="4"/>
  <c r="C53" i="4"/>
  <c r="C49" i="4"/>
  <c r="C45" i="4"/>
  <c r="C41" i="4"/>
  <c r="C37" i="4"/>
  <c r="C33" i="4"/>
  <c r="C29" i="4"/>
  <c r="C25" i="4"/>
  <c r="C21" i="4"/>
  <c r="C15" i="4"/>
  <c r="C12" i="4"/>
  <c r="C10" i="4"/>
  <c r="C8" i="4"/>
  <c r="C6" i="4"/>
  <c r="C4" i="4"/>
  <c r="C17" i="4"/>
  <c r="C100" i="4"/>
  <c r="C96" i="4"/>
  <c r="C92" i="4"/>
  <c r="C88" i="4"/>
  <c r="C84" i="4"/>
  <c r="C80" i="4"/>
  <c r="C76" i="4"/>
  <c r="C72" i="4"/>
  <c r="C68" i="4"/>
  <c r="C64" i="4"/>
  <c r="C60" i="4"/>
  <c r="C56" i="4"/>
  <c r="C52" i="4"/>
  <c r="C48" i="4"/>
  <c r="C44" i="4"/>
  <c r="C40" i="4"/>
  <c r="C36" i="4"/>
  <c r="C32" i="4"/>
  <c r="C28" i="4"/>
  <c r="C24" i="4"/>
  <c r="C20" i="4"/>
  <c r="C14" i="4"/>
  <c r="C3" i="4"/>
  <c r="C99" i="4"/>
  <c r="C95" i="4"/>
  <c r="C91" i="4"/>
  <c r="C87" i="4"/>
  <c r="C83" i="4"/>
  <c r="C79" i="4"/>
  <c r="C75" i="4"/>
  <c r="C71" i="4"/>
  <c r="C67" i="4"/>
  <c r="C63" i="4"/>
  <c r="C59" i="4"/>
  <c r="C55" i="4"/>
  <c r="C51" i="4"/>
  <c r="C47" i="4"/>
  <c r="C43" i="4"/>
  <c r="C39" i="4"/>
  <c r="C35" i="4"/>
  <c r="C31" i="4"/>
  <c r="C27" i="4"/>
  <c r="C23" i="4"/>
  <c r="C19" i="4"/>
  <c r="C13" i="4"/>
  <c r="C11" i="4"/>
  <c r="C9" i="4"/>
  <c r="C7" i="4"/>
  <c r="C5" i="4"/>
  <c r="C2" i="4"/>
  <c r="C16" i="4"/>
  <c r="C98" i="4"/>
  <c r="C94" i="4"/>
  <c r="C90" i="4"/>
  <c r="C86" i="4"/>
  <c r="C82" i="4"/>
  <c r="C78" i="4"/>
  <c r="C74" i="4"/>
  <c r="C70" i="4"/>
  <c r="C66" i="4"/>
  <c r="C62" i="4"/>
  <c r="C58" i="4"/>
  <c r="C54" i="4"/>
  <c r="C50" i="4"/>
  <c r="C46" i="4"/>
  <c r="C42" i="4"/>
  <c r="C38" i="4"/>
  <c r="C34" i="4"/>
  <c r="C30" i="4"/>
  <c r="C26" i="4"/>
  <c r="C22" i="4"/>
  <c r="C18" i="4"/>
  <c r="E101" i="4"/>
  <c r="E97" i="4"/>
  <c r="E93" i="4"/>
  <c r="E89" i="4"/>
  <c r="E85" i="4"/>
  <c r="E81" i="4"/>
  <c r="E77" i="4"/>
  <c r="E73" i="4"/>
  <c r="E69" i="4"/>
  <c r="E65" i="4"/>
  <c r="E61" i="4"/>
  <c r="E57" i="4"/>
  <c r="E53" i="4"/>
  <c r="E49" i="4"/>
  <c r="E45" i="4"/>
  <c r="E41" i="4"/>
  <c r="E37" i="4"/>
  <c r="E33" i="4"/>
  <c r="E29" i="4"/>
  <c r="E25" i="4"/>
  <c r="E21" i="4"/>
  <c r="E15" i="4"/>
  <c r="E12" i="4"/>
  <c r="E10" i="4"/>
  <c r="E8" i="4"/>
  <c r="E6" i="4"/>
  <c r="E4" i="4"/>
  <c r="E17" i="4"/>
  <c r="E100" i="4"/>
  <c r="E96" i="4"/>
  <c r="E92" i="4"/>
  <c r="E88" i="4"/>
  <c r="E84" i="4"/>
  <c r="E80" i="4"/>
  <c r="E76" i="4"/>
  <c r="E72" i="4"/>
  <c r="E68" i="4"/>
  <c r="E64" i="4"/>
  <c r="E60" i="4"/>
  <c r="E56" i="4"/>
  <c r="E52" i="4"/>
  <c r="E48" i="4"/>
  <c r="E44" i="4"/>
  <c r="E40" i="4"/>
  <c r="E36" i="4"/>
  <c r="E32" i="4"/>
  <c r="E28" i="4"/>
  <c r="E24" i="4"/>
  <c r="E20" i="4"/>
  <c r="E14" i="4"/>
  <c r="E3" i="4"/>
  <c r="E99" i="4"/>
  <c r="E95" i="4"/>
  <c r="E91" i="4"/>
  <c r="E87" i="4"/>
  <c r="E83" i="4"/>
  <c r="E79" i="4"/>
  <c r="E75" i="4"/>
  <c r="E71" i="4"/>
  <c r="E67" i="4"/>
  <c r="E63" i="4"/>
  <c r="E59" i="4"/>
  <c r="E55" i="4"/>
  <c r="E51" i="4"/>
  <c r="E47" i="4"/>
  <c r="E43" i="4"/>
  <c r="E39" i="4"/>
  <c r="E35" i="4"/>
  <c r="E31" i="4"/>
  <c r="E27" i="4"/>
  <c r="E23" i="4"/>
  <c r="E19" i="4"/>
  <c r="E13" i="4"/>
  <c r="E11" i="4"/>
  <c r="E9" i="4"/>
  <c r="E7" i="4"/>
  <c r="E5" i="4"/>
  <c r="E2" i="4"/>
  <c r="E16" i="4"/>
  <c r="E98" i="4"/>
  <c r="E94" i="4"/>
  <c r="E90" i="4"/>
  <c r="E86" i="4"/>
  <c r="E82" i="4"/>
  <c r="E78" i="4"/>
  <c r="E74" i="4"/>
  <c r="E70" i="4"/>
  <c r="E66" i="4"/>
  <c r="E62" i="4"/>
  <c r="E58" i="4"/>
  <c r="E54" i="4"/>
  <c r="E50" i="4"/>
  <c r="E46" i="4"/>
  <c r="E42" i="4"/>
  <c r="E38" i="4"/>
  <c r="E34" i="4"/>
  <c r="E30" i="4"/>
  <c r="E26" i="4"/>
  <c r="E22" i="4"/>
  <c r="E18" i="4"/>
  <c r="D101" i="4"/>
  <c r="D97" i="4"/>
  <c r="D93" i="4"/>
  <c r="D89" i="4"/>
  <c r="D85" i="4"/>
  <c r="D81" i="4"/>
  <c r="D77" i="4"/>
  <c r="D73" i="4"/>
  <c r="D69" i="4"/>
  <c r="D65" i="4"/>
  <c r="D61" i="4"/>
  <c r="D57" i="4"/>
  <c r="D53" i="4"/>
  <c r="D49" i="4"/>
  <c r="D45" i="4"/>
  <c r="D41" i="4"/>
  <c r="D37" i="4"/>
  <c r="D33" i="4"/>
  <c r="D29" i="4"/>
  <c r="D25" i="4"/>
  <c r="D21" i="4"/>
  <c r="D15" i="4"/>
  <c r="D12" i="4"/>
  <c r="D10" i="4"/>
  <c r="D8" i="4"/>
  <c r="D6" i="4"/>
  <c r="D4" i="4"/>
  <c r="D17" i="4"/>
  <c r="D100" i="4"/>
  <c r="D96" i="4"/>
  <c r="D92" i="4"/>
  <c r="D88" i="4"/>
  <c r="D84" i="4"/>
  <c r="D80" i="4"/>
  <c r="D76" i="4"/>
  <c r="D72" i="4"/>
  <c r="D68" i="4"/>
  <c r="D64" i="4"/>
  <c r="D60" i="4"/>
  <c r="D56" i="4"/>
  <c r="D52" i="4"/>
  <c r="D48" i="4"/>
  <c r="D44" i="4"/>
  <c r="D40" i="4"/>
  <c r="D36" i="4"/>
  <c r="D32" i="4"/>
  <c r="D28" i="4"/>
  <c r="D24" i="4"/>
  <c r="D20" i="4"/>
  <c r="D14" i="4"/>
  <c r="D3" i="4"/>
  <c r="D99" i="4"/>
  <c r="D95" i="4"/>
  <c r="D91" i="4"/>
  <c r="D87" i="4"/>
  <c r="D83" i="4"/>
  <c r="D79" i="4"/>
  <c r="D75" i="4"/>
  <c r="D71" i="4"/>
  <c r="D67" i="4"/>
  <c r="D63" i="4"/>
  <c r="D59" i="4"/>
  <c r="D55" i="4"/>
  <c r="D51" i="4"/>
  <c r="D47" i="4"/>
  <c r="D43" i="4"/>
  <c r="D39" i="4"/>
  <c r="D35" i="4"/>
  <c r="D31" i="4"/>
  <c r="D27" i="4"/>
  <c r="D23" i="4"/>
  <c r="D19" i="4"/>
  <c r="D13" i="4"/>
  <c r="D11" i="4"/>
  <c r="D9" i="4"/>
  <c r="D7" i="4"/>
  <c r="D5" i="4"/>
  <c r="D2" i="4"/>
  <c r="D16" i="4"/>
  <c r="D98" i="4"/>
  <c r="D94" i="4"/>
  <c r="D90" i="4"/>
  <c r="D86" i="4"/>
  <c r="D82" i="4"/>
  <c r="D78" i="4"/>
  <c r="D74" i="4"/>
  <c r="D70" i="4"/>
  <c r="D66" i="4"/>
  <c r="D62" i="4"/>
  <c r="D58" i="4"/>
  <c r="D54" i="4"/>
  <c r="D50" i="4"/>
  <c r="D46" i="4"/>
  <c r="D42" i="4"/>
  <c r="D38" i="4"/>
  <c r="D34" i="4"/>
  <c r="D30" i="4"/>
  <c r="D26" i="4"/>
  <c r="D22" i="4"/>
  <c r="D18" i="4"/>
  <c r="F101" i="4"/>
  <c r="F97" i="4"/>
  <c r="F93" i="4"/>
  <c r="F89" i="4"/>
  <c r="F85" i="4"/>
  <c r="F81" i="4"/>
  <c r="F77" i="4"/>
  <c r="F73" i="4"/>
  <c r="F69" i="4"/>
  <c r="F65" i="4"/>
  <c r="F61" i="4"/>
  <c r="F57" i="4"/>
  <c r="F53" i="4"/>
  <c r="F49" i="4"/>
  <c r="F45" i="4"/>
  <c r="F41" i="4"/>
  <c r="F37" i="4"/>
  <c r="F33" i="4"/>
  <c r="F29" i="4"/>
  <c r="F25" i="4"/>
  <c r="F21" i="4"/>
  <c r="F15" i="4"/>
  <c r="F12" i="4"/>
  <c r="F10" i="4"/>
  <c r="F8" i="4"/>
  <c r="F6" i="4"/>
  <c r="F4" i="4"/>
  <c r="F17" i="4"/>
  <c r="F100" i="4"/>
  <c r="F96" i="4"/>
  <c r="F92" i="4"/>
  <c r="F88" i="4"/>
  <c r="F84" i="4"/>
  <c r="F80" i="4"/>
  <c r="F76" i="4"/>
  <c r="F72" i="4"/>
  <c r="F68" i="4"/>
  <c r="F64" i="4"/>
  <c r="F60" i="4"/>
  <c r="F56" i="4"/>
  <c r="F52" i="4"/>
  <c r="F48" i="4"/>
  <c r="F44" i="4"/>
  <c r="F40" i="4"/>
  <c r="F36" i="4"/>
  <c r="F32" i="4"/>
  <c r="F28" i="4"/>
  <c r="F24" i="4"/>
  <c r="F20" i="4"/>
  <c r="F14" i="4"/>
  <c r="F3" i="4"/>
  <c r="F99" i="4"/>
  <c r="F95" i="4"/>
  <c r="F91" i="4"/>
  <c r="F87" i="4"/>
  <c r="F83" i="4"/>
  <c r="F79" i="4"/>
  <c r="F75" i="4"/>
  <c r="F71" i="4"/>
  <c r="F67" i="4"/>
  <c r="F63" i="4"/>
  <c r="F59" i="4"/>
  <c r="F55" i="4"/>
  <c r="F51" i="4"/>
  <c r="F47" i="4"/>
  <c r="F43" i="4"/>
  <c r="F39" i="4"/>
  <c r="F35" i="4"/>
  <c r="F31" i="4"/>
  <c r="F27" i="4"/>
  <c r="F23" i="4"/>
  <c r="F19" i="4"/>
  <c r="F13" i="4"/>
  <c r="F11" i="4"/>
  <c r="F9" i="4"/>
  <c r="F7" i="4"/>
  <c r="F5" i="4"/>
  <c r="F2" i="4"/>
  <c r="F16" i="4"/>
  <c r="F98" i="4"/>
  <c r="F94" i="4"/>
  <c r="F90" i="4"/>
  <c r="F86" i="4"/>
  <c r="F82" i="4"/>
  <c r="F78" i="4"/>
  <c r="F74" i="4"/>
  <c r="F70" i="4"/>
  <c r="F66" i="4"/>
  <c r="F62" i="4"/>
  <c r="F58" i="4"/>
  <c r="F54" i="4"/>
  <c r="F50" i="4"/>
  <c r="F46" i="4"/>
  <c r="F42" i="4"/>
  <c r="F38" i="4"/>
  <c r="F34" i="4"/>
  <c r="F30" i="4"/>
  <c r="F26" i="4"/>
  <c r="F22" i="4"/>
  <c r="F18" i="4"/>
  <c r="B101" i="4"/>
  <c r="B97" i="4"/>
  <c r="B93" i="4"/>
  <c r="B89" i="4"/>
  <c r="B85" i="4"/>
  <c r="B81" i="4"/>
  <c r="B77" i="4"/>
  <c r="B73" i="4"/>
  <c r="B69" i="4"/>
  <c r="B65" i="4"/>
  <c r="B61" i="4"/>
  <c r="B57" i="4"/>
  <c r="B53" i="4"/>
  <c r="B49" i="4"/>
  <c r="B45" i="4"/>
  <c r="B41" i="4"/>
  <c r="B37" i="4"/>
  <c r="B33" i="4"/>
  <c r="B29" i="4"/>
  <c r="B25" i="4"/>
  <c r="B21" i="4"/>
  <c r="B15" i="4"/>
  <c r="B12" i="4"/>
  <c r="B10" i="4"/>
  <c r="B8" i="4"/>
  <c r="B6" i="4"/>
  <c r="B4" i="4"/>
  <c r="B17" i="4"/>
  <c r="B100" i="4"/>
  <c r="B96" i="4"/>
  <c r="B92" i="4"/>
  <c r="B88" i="4"/>
  <c r="B84" i="4"/>
  <c r="B80" i="4"/>
  <c r="B76" i="4"/>
  <c r="B72" i="4"/>
  <c r="B68" i="4"/>
  <c r="B64" i="4"/>
  <c r="B60" i="4"/>
  <c r="B56" i="4"/>
  <c r="B52" i="4"/>
  <c r="B48" i="4"/>
  <c r="B44" i="4"/>
  <c r="B40" i="4"/>
  <c r="B36" i="4"/>
  <c r="B32" i="4"/>
  <c r="B28" i="4"/>
  <c r="B24" i="4"/>
  <c r="B20" i="4"/>
  <c r="B14" i="4"/>
  <c r="B3" i="4"/>
  <c r="B99" i="4"/>
  <c r="B95" i="4"/>
  <c r="B91" i="4"/>
  <c r="B87" i="4"/>
  <c r="B83" i="4"/>
  <c r="B79" i="4"/>
  <c r="B75" i="4"/>
  <c r="B71" i="4"/>
  <c r="B67" i="4"/>
  <c r="B63" i="4"/>
  <c r="B59" i="4"/>
  <c r="B55" i="4"/>
  <c r="B51" i="4"/>
  <c r="B47" i="4"/>
  <c r="B43" i="4"/>
  <c r="B39" i="4"/>
  <c r="B35" i="4"/>
  <c r="B31" i="4"/>
  <c r="B27" i="4"/>
  <c r="B23" i="4"/>
  <c r="B19" i="4"/>
  <c r="B13" i="4"/>
  <c r="B11" i="4"/>
  <c r="B9" i="4"/>
  <c r="B7" i="4"/>
  <c r="B5" i="4"/>
  <c r="B2" i="4"/>
  <c r="B16" i="4"/>
  <c r="B98" i="4"/>
  <c r="B94" i="4"/>
  <c r="B90" i="4"/>
  <c r="B86" i="4"/>
  <c r="B82" i="4"/>
  <c r="B78" i="4"/>
  <c r="B74" i="4"/>
  <c r="B70" i="4"/>
  <c r="B66" i="4"/>
  <c r="B62" i="4"/>
  <c r="B58" i="4"/>
  <c r="B54" i="4"/>
  <c r="B50" i="4"/>
  <c r="B46" i="4"/>
  <c r="B42" i="4"/>
  <c r="B38" i="4"/>
  <c r="B34" i="4"/>
  <c r="B30" i="4"/>
  <c r="B26" i="4"/>
  <c r="B22" i="4"/>
  <c r="B18" i="4"/>
  <c r="M17" i="4" l="1"/>
  <c r="M11" i="4"/>
  <c r="M7" i="4"/>
  <c r="M5" i="4"/>
  <c r="M12" i="4"/>
  <c r="M10" i="4"/>
  <c r="M8" i="4"/>
  <c r="M6" i="4"/>
  <c r="M4" i="4"/>
  <c r="K17" i="4"/>
  <c r="K11" i="4"/>
  <c r="K7" i="4"/>
  <c r="K5" i="4"/>
  <c r="K12" i="4"/>
  <c r="K10" i="4"/>
  <c r="K8" i="4"/>
  <c r="K6" i="4"/>
  <c r="K4" i="4"/>
  <c r="L17" i="4"/>
  <c r="L11" i="4"/>
  <c r="L7" i="4"/>
  <c r="L5" i="4"/>
  <c r="L12" i="4"/>
  <c r="L10" i="4"/>
  <c r="L8" i="4"/>
  <c r="L6" i="4"/>
  <c r="L4" i="4"/>
  <c r="K15" i="4"/>
  <c r="J15" i="4"/>
  <c r="I12" i="4"/>
  <c r="I10" i="4"/>
  <c r="I8" i="4"/>
  <c r="I6" i="4"/>
  <c r="I4" i="4"/>
  <c r="I11" i="4"/>
  <c r="I7" i="4"/>
  <c r="I5" i="4"/>
  <c r="M15" i="4"/>
  <c r="L15" i="4"/>
  <c r="J12" i="4"/>
  <c r="J10" i="4"/>
  <c r="J8" i="4"/>
  <c r="J6" i="4"/>
  <c r="J4" i="4"/>
  <c r="J17" i="4"/>
  <c r="J11" i="4"/>
  <c r="J7" i="4"/>
  <c r="J5" i="4"/>
  <c r="L9" i="4" l="1"/>
  <c r="K16" i="4"/>
  <c r="L16" i="4"/>
  <c r="I9" i="4"/>
  <c r="J16" i="4"/>
  <c r="K9" i="4"/>
  <c r="J9" i="4"/>
  <c r="M9" i="4"/>
  <c r="M16" i="4"/>
</calcChain>
</file>

<file path=xl/sharedStrings.xml><?xml version="1.0" encoding="utf-8"?>
<sst xmlns="http://schemas.openxmlformats.org/spreadsheetml/2006/main" count="565" uniqueCount="34">
  <si>
    <t>Participant</t>
  </si>
  <si>
    <t>Base</t>
  </si>
  <si>
    <t>VS-VS</t>
  </si>
  <si>
    <t>VS-VV</t>
  </si>
  <si>
    <t>VS-AV</t>
  </si>
  <si>
    <t>VS-AS</t>
  </si>
  <si>
    <t>Collected Data Summary Table</t>
  </si>
  <si>
    <t>Mean</t>
  </si>
  <si>
    <t>Std. Dev.</t>
  </si>
  <si>
    <t>25th Pct</t>
  </si>
  <si>
    <t>Median</t>
  </si>
  <si>
    <t>75th Pct</t>
  </si>
  <si>
    <t>IQR</t>
  </si>
  <si>
    <t>Minimum</t>
  </si>
  <si>
    <t>Maximum</t>
  </si>
  <si>
    <t>Variance</t>
  </si>
  <si>
    <t>Tracking Score (Error in Px)</t>
  </si>
  <si>
    <t>Threat Response Score (Hits/Total)</t>
  </si>
  <si>
    <t>Frustration TLX</t>
  </si>
  <si>
    <t>Performance TLX</t>
  </si>
  <si>
    <t>Mental Demand TLX</t>
  </si>
  <si>
    <t>Condition</t>
  </si>
  <si>
    <t>Modality</t>
  </si>
  <si>
    <t>Code</t>
  </si>
  <si>
    <t>Tracking Score</t>
  </si>
  <si>
    <t>Accuracy</t>
  </si>
  <si>
    <t>Combined TLX</t>
  </si>
  <si>
    <t>Simulated Data Descriptive Statistics Summary Table</t>
  </si>
  <si>
    <t>Base Score</t>
  </si>
  <si>
    <t>Degradation</t>
  </si>
  <si>
    <t>Visual</t>
  </si>
  <si>
    <t>Auditory</t>
  </si>
  <si>
    <t>Spatial</t>
  </si>
  <si>
    <t>Verbal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</si>
</sst>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9">
    <font>
      <sz val="10"/>
      <color rgb="FF000000"/>
      <name val="Arial"/>
      <scheme val="minor"/>
    </font>
    <font>
      <b/>
      <sz val="11"/>
      <color rgb="FF000000"/>
      <name val="&quot;Aptos Narrow&quot;"/>
    </font>
    <font>
      <b/>
      <sz val="14"/>
      <color theme="1"/>
      <name val="Arial"/>
      <family val="2"/>
      <scheme val="minor"/>
    </font>
    <font>
      <sz val="11"/>
      <color rgb="FF000000"/>
      <name val="&quot;Aptos Narrow&quot;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5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4" fillId="0" borderId="0" xfId="0" applyFont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8" fillId="0" borderId="10" xfId="0" applyFont="1" applyBorder="1" applyAlignment="1">
      <alignment horizontal="center" wrapText="1"/>
    </xf>
    <xf numFmtId="0" fontId="7" fillId="0" borderId="10" xfId="0" applyFont="1" applyBorder="1" applyAlignment="1">
      <alignment horizontal="right" wrapText="1"/>
    </xf>
    <xf numFmtId="0" fontId="7" fillId="0" borderId="10" xfId="0" applyFont="1" applyBorder="1" applyAlignment="1">
      <alignment wrapText="1"/>
    </xf>
    <xf numFmtId="0" fontId="2" fillId="0" borderId="0" xfId="0" applyFont="1" applyAlignment="1">
      <alignment horizontal="center" vertical="center"/>
    </xf>
    <xf numFmtId="0" fontId="0" fillId="0" borderId="0" xfId="0"/>
    <xf numFmtId="0" fontId="5" fillId="0" borderId="4" xfId="0" applyFont="1" applyBorder="1" applyAlignment="1">
      <alignment horizontal="center"/>
    </xf>
    <xf numFmtId="0" fontId="6" fillId="0" borderId="5" xfId="0" applyFont="1" applyBorder="1"/>
    <xf numFmtId="0" fontId="6" fillId="0" borderId="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lang="en-US" b="1">
                <a:solidFill>
                  <a:srgbClr val="000000"/>
                </a:solidFill>
                <a:latin typeface="+mn-lt"/>
              </a:rPr>
              <a:t>Average Score and Degradation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'Simulated Data'!$H$15</c:f>
              <c:strCache>
                <c:ptCount val="1"/>
                <c:pt idx="0">
                  <c:v>Base Score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8A53-4068-9184-DC4F8F48D7CB}"/>
              </c:ext>
            </c:extLst>
          </c:dPt>
          <c:cat>
            <c:strRef>
              <c:f>'Simulated Data'!$I$14:$M$14</c:f>
              <c:strCache>
                <c:ptCount val="5"/>
                <c:pt idx="1">
                  <c:v>VS-VS</c:v>
                </c:pt>
                <c:pt idx="2">
                  <c:v>VS-VV</c:v>
                </c:pt>
                <c:pt idx="3">
                  <c:v>VS-AV</c:v>
                </c:pt>
                <c:pt idx="4">
                  <c:v>VS-AS</c:v>
                </c:pt>
              </c:strCache>
            </c:strRef>
          </c:cat>
          <c:val>
            <c:numRef>
              <c:f>'Simulated Data'!$I$15:$M$15</c:f>
              <c:numCache>
                <c:formatCode>0.00</c:formatCode>
                <c:ptCount val="5"/>
                <c:pt idx="1">
                  <c:v>17.095911403428889</c:v>
                </c:pt>
                <c:pt idx="2">
                  <c:v>17.095911403428889</c:v>
                </c:pt>
                <c:pt idx="3">
                  <c:v>17.095911403428889</c:v>
                </c:pt>
                <c:pt idx="4">
                  <c:v>17.095911403428889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A53-4068-9184-DC4F8F48D7CB}"/>
            </c:ext>
          </c:extLst>
        </c:ser>
        <c:ser>
          <c:idx val="1"/>
          <c:order val="1"/>
          <c:tx>
            <c:strRef>
              <c:f>'Simulated Data'!$H$16</c:f>
              <c:strCache>
                <c:ptCount val="1"/>
                <c:pt idx="0">
                  <c:v>Degradation</c:v>
                </c:pt>
              </c:strCache>
            </c:strRef>
          </c:tx>
          <c:spPr>
            <a:solidFill>
              <a:srgbClr val="EA4335"/>
            </a:solidFill>
            <a:ln cmpd="sng">
              <a:solidFill>
                <a:srgbClr val="980000">
                  <a:alpha val="100000"/>
                </a:srgbClr>
              </a:solidFill>
            </a:ln>
          </c:spPr>
          <c:invertIfNegative val="1"/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8A53-4068-9184-DC4F8F48D7C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8A53-4068-9184-DC4F8F48D7C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'Simulated Data'!$I$14:$M$14</c:f>
              <c:strCache>
                <c:ptCount val="5"/>
                <c:pt idx="1">
                  <c:v>VS-VS</c:v>
                </c:pt>
                <c:pt idx="2">
                  <c:v>VS-VV</c:v>
                </c:pt>
                <c:pt idx="3">
                  <c:v>VS-AV</c:v>
                </c:pt>
                <c:pt idx="4">
                  <c:v>VS-AS</c:v>
                </c:pt>
              </c:strCache>
            </c:strRef>
          </c:cat>
          <c:val>
            <c:numRef>
              <c:f>'Simulated Data'!$I$16:$M$16</c:f>
              <c:numCache>
                <c:formatCode>0.00</c:formatCode>
                <c:ptCount val="5"/>
                <c:pt idx="1">
                  <c:v>78.452117743966397</c:v>
                </c:pt>
                <c:pt idx="2">
                  <c:v>87.338239886419615</c:v>
                </c:pt>
                <c:pt idx="3">
                  <c:v>71.107051903160311</c:v>
                </c:pt>
                <c:pt idx="4">
                  <c:v>78.902541980823472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980000">
                        <a:alpha val="100000"/>
                      </a:srgbClr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8A53-4068-9184-DC4F8F48D7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71627915"/>
        <c:axId val="602429457"/>
      </c:barChart>
      <c:catAx>
        <c:axId val="2716279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2429457"/>
        <c:crosses val="autoZero"/>
        <c:auto val="1"/>
        <c:lblAlgn val="ctr"/>
        <c:lblOffset val="100"/>
        <c:noMultiLvlLbl val="1"/>
      </c:catAx>
      <c:valAx>
        <c:axId val="6024294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7162791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942975</xdr:colOff>
      <xdr:row>12</xdr:row>
      <xdr:rowOff>142875</xdr:rowOff>
    </xdr:from>
    <xdr:ext cx="7620000" cy="4705350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M12"/>
  <sheetViews>
    <sheetView workbookViewId="0"/>
  </sheetViews>
  <sheetFormatPr defaultColWidth="12.6640625" defaultRowHeight="15.75" customHeight="1"/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23" t="s">
        <v>6</v>
      </c>
      <c r="I1" s="24"/>
      <c r="J1" s="24"/>
      <c r="K1" s="24"/>
      <c r="L1" s="24"/>
      <c r="M1" s="24"/>
    </row>
    <row r="2" spans="1:13">
      <c r="A2" s="2">
        <v>1</v>
      </c>
      <c r="B2" s="3">
        <v>10</v>
      </c>
      <c r="C2" s="3">
        <v>69</v>
      </c>
      <c r="D2" s="4">
        <v>56</v>
      </c>
      <c r="E2" s="4">
        <v>57</v>
      </c>
      <c r="F2" s="5">
        <v>56</v>
      </c>
      <c r="H2" s="24"/>
      <c r="I2" s="24"/>
      <c r="J2" s="24"/>
      <c r="K2" s="24"/>
      <c r="L2" s="24"/>
      <c r="M2" s="24"/>
    </row>
    <row r="3" spans="1:13">
      <c r="A3" s="2">
        <v>2</v>
      </c>
      <c r="B3" s="3">
        <v>20</v>
      </c>
      <c r="C3" s="3">
        <v>79</v>
      </c>
      <c r="D3" s="4">
        <v>76</v>
      </c>
      <c r="E3" s="4">
        <v>63</v>
      </c>
      <c r="F3" s="5">
        <v>54</v>
      </c>
      <c r="I3" s="1" t="s">
        <v>1</v>
      </c>
      <c r="J3" s="1" t="s">
        <v>2</v>
      </c>
      <c r="K3" s="1" t="s">
        <v>3</v>
      </c>
      <c r="L3" s="1" t="s">
        <v>4</v>
      </c>
      <c r="M3" s="1" t="s">
        <v>5</v>
      </c>
    </row>
    <row r="4" spans="1:13">
      <c r="A4" s="2">
        <v>3</v>
      </c>
      <c r="B4" s="3">
        <v>10</v>
      </c>
      <c r="C4" s="3">
        <v>87</v>
      </c>
      <c r="D4" s="4">
        <v>98</v>
      </c>
      <c r="E4" s="4">
        <v>73</v>
      </c>
      <c r="F4" s="5">
        <v>76</v>
      </c>
      <c r="H4" s="6" t="s">
        <v>7</v>
      </c>
      <c r="I4" s="7">
        <f t="shared" ref="I4:M4" si="0">AVERAGE(B2:B101)</f>
        <v>17.399999999999999</v>
      </c>
      <c r="J4" s="7">
        <f t="shared" si="0"/>
        <v>95.2</v>
      </c>
      <c r="K4" s="7">
        <f t="shared" si="0"/>
        <v>99.5</v>
      </c>
      <c r="L4" s="7">
        <f t="shared" si="0"/>
        <v>88.9</v>
      </c>
      <c r="M4" s="7">
        <f t="shared" si="0"/>
        <v>90.9</v>
      </c>
    </row>
    <row r="5" spans="1:13">
      <c r="A5" s="2">
        <v>4</v>
      </c>
      <c r="B5" s="3">
        <v>10</v>
      </c>
      <c r="C5" s="3">
        <v>103</v>
      </c>
      <c r="D5" s="4">
        <v>98</v>
      </c>
      <c r="E5" s="4">
        <v>80</v>
      </c>
      <c r="F5" s="5">
        <v>114</v>
      </c>
      <c r="H5" s="6" t="s">
        <v>8</v>
      </c>
      <c r="I5" s="7">
        <f t="shared" ref="I5:M5" si="1">STDEV(B2:B101)</f>
        <v>8.4353752468728711</v>
      </c>
      <c r="J5" s="7">
        <f t="shared" si="1"/>
        <v>32.563783563953386</v>
      </c>
      <c r="K5" s="7">
        <f t="shared" si="1"/>
        <v>53.310932795774221</v>
      </c>
      <c r="L5" s="7">
        <f t="shared" si="1"/>
        <v>47.526483844974962</v>
      </c>
      <c r="M5" s="7">
        <f t="shared" si="1"/>
        <v>41.964138128750939</v>
      </c>
    </row>
    <row r="6" spans="1:13">
      <c r="A6" s="2">
        <v>5</v>
      </c>
      <c r="B6" s="3">
        <v>30</v>
      </c>
      <c r="C6" s="3">
        <v>170</v>
      </c>
      <c r="D6" s="4">
        <v>241</v>
      </c>
      <c r="E6" s="4">
        <v>174</v>
      </c>
      <c r="F6" s="5">
        <v>172</v>
      </c>
      <c r="H6" s="6" t="s">
        <v>9</v>
      </c>
      <c r="I6" s="7">
        <f t="shared" ref="I6:M6" si="2">PERCENTILE(B2:B101,0.25)</f>
        <v>10</v>
      </c>
      <c r="J6" s="7">
        <f t="shared" si="2"/>
        <v>72.25</v>
      </c>
      <c r="K6" s="7">
        <f t="shared" si="2"/>
        <v>72.25</v>
      </c>
      <c r="L6" s="7">
        <f t="shared" si="2"/>
        <v>58.5</v>
      </c>
      <c r="M6" s="7">
        <f t="shared" si="2"/>
        <v>56.75</v>
      </c>
    </row>
    <row r="7" spans="1:13">
      <c r="A7" s="2">
        <v>6</v>
      </c>
      <c r="B7" s="3">
        <v>20</v>
      </c>
      <c r="C7" s="3">
        <v>63</v>
      </c>
      <c r="D7" s="4">
        <v>61</v>
      </c>
      <c r="E7" s="4">
        <v>45</v>
      </c>
      <c r="F7" s="5">
        <v>53</v>
      </c>
      <c r="H7" s="6" t="s">
        <v>10</v>
      </c>
      <c r="I7" s="7">
        <f t="shared" ref="I7:M7" si="3">MEDIAN(B2:B101)</f>
        <v>16</v>
      </c>
      <c r="J7" s="7">
        <f t="shared" si="3"/>
        <v>83</v>
      </c>
      <c r="K7" s="7">
        <f t="shared" si="3"/>
        <v>87.5</v>
      </c>
      <c r="L7" s="7">
        <f t="shared" si="3"/>
        <v>72.5</v>
      </c>
      <c r="M7" s="7">
        <f t="shared" si="3"/>
        <v>71.5</v>
      </c>
    </row>
    <row r="8" spans="1:13">
      <c r="A8" s="2">
        <v>7</v>
      </c>
      <c r="B8" s="3">
        <v>10</v>
      </c>
      <c r="C8" s="3">
        <v>122</v>
      </c>
      <c r="D8" s="4">
        <v>119</v>
      </c>
      <c r="E8" s="4">
        <v>177</v>
      </c>
      <c r="F8" s="5">
        <v>131</v>
      </c>
      <c r="H8" s="6" t="s">
        <v>11</v>
      </c>
      <c r="I8" s="7">
        <f t="shared" ref="I8:M8" si="4">PERCENTILE(B2:B101,0.75)</f>
        <v>20</v>
      </c>
      <c r="J8" s="7">
        <f t="shared" si="4"/>
        <v>108.25</v>
      </c>
      <c r="K8" s="7">
        <f t="shared" si="4"/>
        <v>98</v>
      </c>
      <c r="L8" s="7">
        <f t="shared" si="4"/>
        <v>89</v>
      </c>
      <c r="M8" s="7">
        <f t="shared" si="4"/>
        <v>123.75</v>
      </c>
    </row>
    <row r="9" spans="1:13">
      <c r="A9" s="2">
        <v>8</v>
      </c>
      <c r="B9" s="8">
        <v>20</v>
      </c>
      <c r="C9" s="8">
        <v>70</v>
      </c>
      <c r="D9" s="4">
        <v>79</v>
      </c>
      <c r="E9" s="4">
        <v>56</v>
      </c>
      <c r="F9" s="5">
        <v>59</v>
      </c>
      <c r="H9" s="6" t="s">
        <v>12</v>
      </c>
      <c r="I9" s="7">
        <f t="shared" ref="I9:M9" si="5">I8-I6</f>
        <v>10</v>
      </c>
      <c r="J9" s="7">
        <f t="shared" si="5"/>
        <v>36</v>
      </c>
      <c r="K9" s="7">
        <f t="shared" si="5"/>
        <v>25.75</v>
      </c>
      <c r="L9" s="7">
        <f t="shared" si="5"/>
        <v>30.5</v>
      </c>
      <c r="M9" s="7">
        <f t="shared" si="5"/>
        <v>67</v>
      </c>
    </row>
    <row r="10" spans="1:13">
      <c r="A10" s="2">
        <v>9</v>
      </c>
      <c r="B10" s="3">
        <v>12</v>
      </c>
      <c r="C10" s="3">
        <v>79</v>
      </c>
      <c r="D10" s="4">
        <v>71</v>
      </c>
      <c r="E10" s="4">
        <v>72</v>
      </c>
      <c r="F10" s="5">
        <v>67</v>
      </c>
      <c r="H10" s="6" t="s">
        <v>13</v>
      </c>
      <c r="I10" s="7">
        <f t="shared" ref="I10:M10" si="6">MIN(B2:B101)</f>
        <v>10</v>
      </c>
      <c r="J10" s="7">
        <f t="shared" si="6"/>
        <v>63</v>
      </c>
      <c r="K10" s="7">
        <f t="shared" si="6"/>
        <v>56</v>
      </c>
      <c r="L10" s="7">
        <f t="shared" si="6"/>
        <v>45</v>
      </c>
      <c r="M10" s="7">
        <f t="shared" si="6"/>
        <v>53</v>
      </c>
    </row>
    <row r="11" spans="1:13">
      <c r="A11" s="2">
        <v>10</v>
      </c>
      <c r="B11" s="3">
        <v>32</v>
      </c>
      <c r="C11" s="3">
        <v>110</v>
      </c>
      <c r="D11" s="4">
        <v>96</v>
      </c>
      <c r="E11" s="4">
        <v>92</v>
      </c>
      <c r="F11" s="5">
        <v>127</v>
      </c>
      <c r="H11" s="6" t="s">
        <v>14</v>
      </c>
      <c r="I11" s="7">
        <f t="shared" ref="I11:M11" si="7">MAX(B2:B101)</f>
        <v>32</v>
      </c>
      <c r="J11" s="7">
        <f t="shared" si="7"/>
        <v>170</v>
      </c>
      <c r="K11" s="7">
        <f t="shared" si="7"/>
        <v>241</v>
      </c>
      <c r="L11" s="7">
        <f t="shared" si="7"/>
        <v>177</v>
      </c>
      <c r="M11" s="7">
        <f t="shared" si="7"/>
        <v>172</v>
      </c>
    </row>
    <row r="12" spans="1:13">
      <c r="H12" s="6" t="s">
        <v>15</v>
      </c>
      <c r="I12" s="7">
        <f t="shared" ref="I12:M12" si="8">VAR(B2:B101)</f>
        <v>71.155555555555566</v>
      </c>
      <c r="J12" s="7">
        <f t="shared" si="8"/>
        <v>1060.4000000000005</v>
      </c>
      <c r="K12" s="7">
        <f t="shared" si="8"/>
        <v>2842.0555555555557</v>
      </c>
      <c r="L12" s="7">
        <f t="shared" si="8"/>
        <v>2258.766666666666</v>
      </c>
      <c r="M12" s="7">
        <f t="shared" si="8"/>
        <v>1760.9888888888881</v>
      </c>
    </row>
  </sheetData>
  <mergeCells count="1">
    <mergeCell ref="H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U52"/>
  <sheetViews>
    <sheetView workbookViewId="0">
      <selection activeCell="D38" sqref="D38"/>
    </sheetView>
  </sheetViews>
  <sheetFormatPr defaultColWidth="12.6640625" defaultRowHeight="15.75" customHeight="1"/>
  <sheetData>
    <row r="1" spans="1:21">
      <c r="B1" s="25" t="s">
        <v>16</v>
      </c>
      <c r="C1" s="26"/>
      <c r="D1" s="26"/>
      <c r="E1" s="27"/>
      <c r="F1" s="25" t="s">
        <v>17</v>
      </c>
      <c r="G1" s="26"/>
      <c r="H1" s="26"/>
      <c r="I1" s="27"/>
      <c r="J1" s="25" t="s">
        <v>18</v>
      </c>
      <c r="K1" s="26"/>
      <c r="L1" s="26"/>
      <c r="M1" s="27"/>
      <c r="N1" s="25" t="s">
        <v>19</v>
      </c>
      <c r="O1" s="26"/>
      <c r="P1" s="26"/>
      <c r="Q1" s="27"/>
      <c r="R1" s="25" t="s">
        <v>20</v>
      </c>
      <c r="S1" s="26"/>
      <c r="T1" s="26"/>
      <c r="U1" s="27"/>
    </row>
    <row r="2" spans="1:21">
      <c r="A2" s="1" t="s">
        <v>0</v>
      </c>
      <c r="B2" s="9" t="s">
        <v>2</v>
      </c>
      <c r="C2" s="10" t="s">
        <v>3</v>
      </c>
      <c r="D2" s="10" t="s">
        <v>4</v>
      </c>
      <c r="E2" s="11" t="s">
        <v>5</v>
      </c>
      <c r="F2" s="9" t="s">
        <v>2</v>
      </c>
      <c r="G2" s="10" t="s">
        <v>3</v>
      </c>
      <c r="H2" s="10" t="s">
        <v>4</v>
      </c>
      <c r="I2" s="11" t="s">
        <v>5</v>
      </c>
      <c r="J2" s="9" t="s">
        <v>2</v>
      </c>
      <c r="K2" s="10" t="s">
        <v>3</v>
      </c>
      <c r="L2" s="10" t="s">
        <v>4</v>
      </c>
      <c r="M2" s="11" t="s">
        <v>5</v>
      </c>
      <c r="N2" s="9" t="s">
        <v>2</v>
      </c>
      <c r="O2" s="10" t="s">
        <v>3</v>
      </c>
      <c r="P2" s="10" t="s">
        <v>4</v>
      </c>
      <c r="Q2" s="11" t="s">
        <v>5</v>
      </c>
      <c r="R2" s="9" t="s">
        <v>2</v>
      </c>
      <c r="S2" s="10" t="s">
        <v>3</v>
      </c>
      <c r="T2" s="10" t="s">
        <v>4</v>
      </c>
      <c r="U2" s="11" t="s">
        <v>5</v>
      </c>
    </row>
    <row r="3" spans="1:21">
      <c r="A3" s="2">
        <v>1</v>
      </c>
      <c r="B3" s="3">
        <v>69</v>
      </c>
      <c r="C3" s="4">
        <v>56</v>
      </c>
      <c r="D3" s="4">
        <v>57</v>
      </c>
      <c r="E3" s="5">
        <v>56</v>
      </c>
      <c r="F3" s="12">
        <v>46179</v>
      </c>
      <c r="G3" s="13">
        <v>46118</v>
      </c>
      <c r="H3" s="13">
        <v>46179</v>
      </c>
      <c r="I3" s="14">
        <v>46117</v>
      </c>
      <c r="J3" s="3">
        <v>40</v>
      </c>
      <c r="K3" s="4">
        <v>50</v>
      </c>
      <c r="L3" s="4">
        <v>5</v>
      </c>
      <c r="M3" s="5">
        <v>35</v>
      </c>
      <c r="N3" s="3">
        <v>35</v>
      </c>
      <c r="O3" s="4">
        <v>45</v>
      </c>
      <c r="P3" s="4">
        <v>5</v>
      </c>
      <c r="Q3" s="5">
        <v>30</v>
      </c>
      <c r="R3" s="3">
        <v>30</v>
      </c>
      <c r="S3" s="4">
        <v>40</v>
      </c>
      <c r="T3" s="4">
        <v>15</v>
      </c>
      <c r="U3" s="5">
        <v>20</v>
      </c>
    </row>
    <row r="4" spans="1:21">
      <c r="A4" s="2">
        <v>2</v>
      </c>
      <c r="B4" s="3">
        <v>79</v>
      </c>
      <c r="C4" s="4">
        <v>76</v>
      </c>
      <c r="D4" s="4">
        <v>63</v>
      </c>
      <c r="E4" s="5">
        <v>54</v>
      </c>
      <c r="F4" s="12">
        <v>46179</v>
      </c>
      <c r="G4" s="13">
        <v>46179</v>
      </c>
      <c r="H4" s="13">
        <v>46148</v>
      </c>
      <c r="I4" s="14">
        <v>46179</v>
      </c>
      <c r="J4" s="3">
        <v>0</v>
      </c>
      <c r="K4" s="4">
        <v>35</v>
      </c>
      <c r="L4" s="4">
        <v>25</v>
      </c>
      <c r="M4" s="5">
        <v>0</v>
      </c>
      <c r="N4" s="3">
        <v>20</v>
      </c>
      <c r="O4" s="4">
        <v>30</v>
      </c>
      <c r="P4" s="4">
        <v>35</v>
      </c>
      <c r="Q4" s="5">
        <v>5</v>
      </c>
      <c r="R4" s="3">
        <v>90</v>
      </c>
      <c r="S4" s="4">
        <v>90</v>
      </c>
      <c r="T4" s="4">
        <v>30</v>
      </c>
      <c r="U4" s="5">
        <v>35</v>
      </c>
    </row>
    <row r="5" spans="1:21">
      <c r="A5" s="2">
        <v>3</v>
      </c>
      <c r="B5" s="3">
        <v>87</v>
      </c>
      <c r="C5" s="4">
        <v>98</v>
      </c>
      <c r="D5" s="4">
        <v>73</v>
      </c>
      <c r="E5" s="5">
        <v>76</v>
      </c>
      <c r="F5" s="12">
        <v>46147</v>
      </c>
      <c r="G5" s="13">
        <v>46118</v>
      </c>
      <c r="H5" s="13">
        <v>46118</v>
      </c>
      <c r="I5" s="14">
        <v>46147</v>
      </c>
      <c r="J5" s="3">
        <v>25</v>
      </c>
      <c r="K5" s="4">
        <v>25</v>
      </c>
      <c r="L5" s="4">
        <v>10</v>
      </c>
      <c r="M5" s="5">
        <v>5</v>
      </c>
      <c r="N5" s="3">
        <v>35</v>
      </c>
      <c r="O5" s="4">
        <v>65</v>
      </c>
      <c r="P5" s="4">
        <v>45</v>
      </c>
      <c r="Q5" s="5">
        <v>30</v>
      </c>
      <c r="R5" s="3">
        <v>35</v>
      </c>
      <c r="S5" s="4">
        <v>30</v>
      </c>
      <c r="T5" s="4">
        <v>25</v>
      </c>
      <c r="U5" s="5">
        <v>15</v>
      </c>
    </row>
    <row r="6" spans="1:21">
      <c r="A6" s="2">
        <v>4</v>
      </c>
      <c r="B6" s="3">
        <v>103</v>
      </c>
      <c r="C6" s="4">
        <v>98</v>
      </c>
      <c r="D6" s="4">
        <v>80</v>
      </c>
      <c r="E6" s="5">
        <v>114</v>
      </c>
      <c r="F6" s="12">
        <v>46147</v>
      </c>
      <c r="G6" s="13">
        <v>46117</v>
      </c>
      <c r="H6" s="13">
        <v>46179</v>
      </c>
      <c r="I6" s="14">
        <v>46179</v>
      </c>
      <c r="J6" s="3">
        <v>15</v>
      </c>
      <c r="K6" s="4">
        <v>30</v>
      </c>
      <c r="L6" s="4">
        <v>0</v>
      </c>
      <c r="M6" s="5">
        <v>5</v>
      </c>
      <c r="N6" s="3">
        <v>55</v>
      </c>
      <c r="O6" s="4">
        <v>40</v>
      </c>
      <c r="P6" s="4">
        <v>80</v>
      </c>
      <c r="Q6" s="5">
        <v>45</v>
      </c>
      <c r="R6" s="3">
        <v>25</v>
      </c>
      <c r="S6" s="4">
        <v>30</v>
      </c>
      <c r="T6" s="4">
        <v>0</v>
      </c>
      <c r="U6" s="5">
        <v>10</v>
      </c>
    </row>
    <row r="7" spans="1:21">
      <c r="A7" s="2">
        <v>5</v>
      </c>
      <c r="B7" s="3">
        <v>170</v>
      </c>
      <c r="C7" s="4">
        <v>241</v>
      </c>
      <c r="D7" s="4">
        <v>174</v>
      </c>
      <c r="E7" s="5">
        <v>172</v>
      </c>
      <c r="F7" s="12">
        <v>46179</v>
      </c>
      <c r="G7" s="13">
        <v>46086</v>
      </c>
      <c r="H7" s="13">
        <v>46147</v>
      </c>
      <c r="I7" s="14">
        <v>46148</v>
      </c>
      <c r="J7" s="3">
        <v>40</v>
      </c>
      <c r="K7" s="4">
        <v>75</v>
      </c>
      <c r="L7" s="4">
        <v>80</v>
      </c>
      <c r="M7" s="5">
        <v>40</v>
      </c>
      <c r="N7" s="3">
        <v>45</v>
      </c>
      <c r="O7" s="4">
        <v>40</v>
      </c>
      <c r="P7" s="4">
        <v>35</v>
      </c>
      <c r="Q7" s="5">
        <v>60</v>
      </c>
      <c r="R7" s="3">
        <v>45</v>
      </c>
      <c r="S7" s="4">
        <v>65</v>
      </c>
      <c r="T7" s="4">
        <v>65</v>
      </c>
      <c r="U7" s="5">
        <v>35</v>
      </c>
    </row>
    <row r="8" spans="1:21">
      <c r="A8" s="2">
        <v>6</v>
      </c>
      <c r="B8" s="3">
        <v>63</v>
      </c>
      <c r="C8" s="4">
        <v>61</v>
      </c>
      <c r="D8" s="4">
        <v>45</v>
      </c>
      <c r="E8" s="5">
        <v>53</v>
      </c>
      <c r="F8" s="12">
        <v>46147</v>
      </c>
      <c r="G8" s="13">
        <v>46148</v>
      </c>
      <c r="H8" s="13">
        <v>46179</v>
      </c>
      <c r="I8" s="14">
        <v>46147</v>
      </c>
      <c r="J8" s="3">
        <v>15</v>
      </c>
      <c r="K8" s="4">
        <v>15</v>
      </c>
      <c r="L8" s="4">
        <v>30</v>
      </c>
      <c r="M8" s="5">
        <v>65</v>
      </c>
      <c r="N8" s="3">
        <v>30</v>
      </c>
      <c r="O8" s="4">
        <v>75</v>
      </c>
      <c r="P8" s="4">
        <v>10</v>
      </c>
      <c r="Q8" s="5">
        <v>35</v>
      </c>
      <c r="R8" s="3">
        <v>75</v>
      </c>
      <c r="S8" s="4">
        <v>30</v>
      </c>
      <c r="T8" s="4">
        <v>65</v>
      </c>
      <c r="U8" s="5">
        <v>60</v>
      </c>
    </row>
    <row r="9" spans="1:21">
      <c r="A9" s="2">
        <v>7</v>
      </c>
      <c r="B9" s="3">
        <v>122</v>
      </c>
      <c r="C9" s="4">
        <v>119</v>
      </c>
      <c r="D9" s="4">
        <v>177</v>
      </c>
      <c r="E9" s="5">
        <v>131</v>
      </c>
      <c r="F9" s="12">
        <v>46147</v>
      </c>
      <c r="G9" s="13">
        <v>46179</v>
      </c>
      <c r="H9" s="13">
        <v>46148</v>
      </c>
      <c r="I9" s="14">
        <v>46147</v>
      </c>
      <c r="J9" s="3">
        <v>55</v>
      </c>
      <c r="K9" s="4">
        <v>45</v>
      </c>
      <c r="L9" s="4">
        <v>65</v>
      </c>
      <c r="M9" s="5">
        <v>60</v>
      </c>
      <c r="N9" s="3">
        <v>80</v>
      </c>
      <c r="O9" s="4">
        <v>35</v>
      </c>
      <c r="P9" s="4">
        <v>35</v>
      </c>
      <c r="Q9" s="5">
        <v>45</v>
      </c>
      <c r="R9" s="3">
        <v>45</v>
      </c>
      <c r="S9" s="4">
        <v>40</v>
      </c>
      <c r="T9" s="4">
        <v>45</v>
      </c>
      <c r="U9" s="5">
        <v>55</v>
      </c>
    </row>
    <row r="10" spans="1:21">
      <c r="A10" s="2">
        <v>8</v>
      </c>
      <c r="B10" s="3">
        <v>70</v>
      </c>
      <c r="C10" s="4">
        <v>79</v>
      </c>
      <c r="D10" s="4">
        <v>56</v>
      </c>
      <c r="E10" s="5">
        <v>59</v>
      </c>
      <c r="F10" s="12">
        <v>46179</v>
      </c>
      <c r="G10" s="13">
        <v>46147</v>
      </c>
      <c r="H10" s="13">
        <v>46179</v>
      </c>
      <c r="I10" s="14">
        <v>46147</v>
      </c>
      <c r="J10" s="3">
        <v>30</v>
      </c>
      <c r="K10" s="4">
        <v>70</v>
      </c>
      <c r="L10" s="4">
        <v>70</v>
      </c>
      <c r="M10" s="5">
        <v>20</v>
      </c>
      <c r="N10" s="3">
        <v>20</v>
      </c>
      <c r="O10" s="4">
        <v>20</v>
      </c>
      <c r="P10" s="4">
        <v>15</v>
      </c>
      <c r="Q10" s="5">
        <v>15</v>
      </c>
      <c r="R10" s="3">
        <v>60</v>
      </c>
      <c r="S10" s="4">
        <v>35</v>
      </c>
      <c r="T10" s="4">
        <v>80</v>
      </c>
      <c r="U10" s="5">
        <v>65</v>
      </c>
    </row>
    <row r="11" spans="1:21">
      <c r="A11" s="2">
        <v>9</v>
      </c>
      <c r="B11" s="3">
        <v>79</v>
      </c>
      <c r="C11" s="4">
        <v>71</v>
      </c>
      <c r="D11" s="4">
        <v>72</v>
      </c>
      <c r="E11" s="5">
        <v>67</v>
      </c>
      <c r="F11" s="12">
        <v>46147</v>
      </c>
      <c r="G11" s="13">
        <v>46148</v>
      </c>
      <c r="H11" s="13">
        <v>46148</v>
      </c>
      <c r="I11" s="14">
        <v>46148</v>
      </c>
      <c r="J11" s="3">
        <v>40</v>
      </c>
      <c r="K11" s="4">
        <v>65</v>
      </c>
      <c r="L11" s="4">
        <v>25</v>
      </c>
      <c r="M11" s="5">
        <v>5</v>
      </c>
      <c r="N11" s="3">
        <v>0</v>
      </c>
      <c r="O11" s="4">
        <v>35</v>
      </c>
      <c r="P11" s="4">
        <v>20</v>
      </c>
      <c r="Q11" s="5">
        <v>15</v>
      </c>
      <c r="R11" s="3">
        <v>25</v>
      </c>
      <c r="S11" s="4">
        <v>75</v>
      </c>
      <c r="T11" s="4">
        <v>25</v>
      </c>
      <c r="U11" s="5">
        <v>15</v>
      </c>
    </row>
    <row r="12" spans="1:21">
      <c r="A12" s="2">
        <v>10</v>
      </c>
      <c r="B12" s="3">
        <v>110</v>
      </c>
      <c r="C12" s="4">
        <v>96</v>
      </c>
      <c r="D12" s="4">
        <v>92</v>
      </c>
      <c r="E12" s="5">
        <v>127</v>
      </c>
      <c r="F12" s="12">
        <v>46117</v>
      </c>
      <c r="G12" s="13">
        <v>46179</v>
      </c>
      <c r="H12" s="13">
        <v>46147</v>
      </c>
      <c r="I12" s="14">
        <v>46179</v>
      </c>
      <c r="J12" s="3">
        <v>30</v>
      </c>
      <c r="K12" s="4">
        <v>20</v>
      </c>
      <c r="L12" s="4">
        <v>15</v>
      </c>
      <c r="M12" s="5">
        <v>25</v>
      </c>
      <c r="N12" s="3">
        <v>60</v>
      </c>
      <c r="O12" s="4">
        <v>65</v>
      </c>
      <c r="P12" s="4">
        <v>70</v>
      </c>
      <c r="Q12" s="5">
        <v>60</v>
      </c>
      <c r="R12" s="3">
        <v>55</v>
      </c>
      <c r="S12" s="4">
        <v>35</v>
      </c>
      <c r="T12" s="4">
        <v>20</v>
      </c>
      <c r="U12" s="5">
        <v>30</v>
      </c>
    </row>
    <row r="13" spans="1:21">
      <c r="A13" s="2">
        <v>11</v>
      </c>
      <c r="B13" s="3">
        <v>90</v>
      </c>
      <c r="C13" s="4">
        <v>106</v>
      </c>
      <c r="D13" s="4">
        <v>90</v>
      </c>
      <c r="E13" s="5">
        <v>80</v>
      </c>
      <c r="F13" s="12">
        <v>46148</v>
      </c>
      <c r="G13" s="13">
        <v>46148</v>
      </c>
      <c r="H13" s="13">
        <v>46179</v>
      </c>
      <c r="I13" s="14">
        <v>46179</v>
      </c>
      <c r="J13" s="3">
        <v>55</v>
      </c>
      <c r="K13" s="4">
        <v>65</v>
      </c>
      <c r="L13" s="4">
        <v>80</v>
      </c>
      <c r="M13" s="5">
        <v>70</v>
      </c>
      <c r="N13" s="3">
        <v>45</v>
      </c>
      <c r="O13" s="4">
        <v>35</v>
      </c>
      <c r="P13" s="4">
        <v>70</v>
      </c>
      <c r="Q13" s="5">
        <v>65</v>
      </c>
      <c r="R13" s="3">
        <v>70</v>
      </c>
      <c r="S13" s="4">
        <v>80</v>
      </c>
      <c r="T13" s="4">
        <v>85</v>
      </c>
      <c r="U13" s="5">
        <v>60</v>
      </c>
    </row>
    <row r="14" spans="1:21">
      <c r="A14" s="2">
        <v>12</v>
      </c>
      <c r="B14" s="3">
        <v>62</v>
      </c>
      <c r="C14" s="4">
        <v>63</v>
      </c>
      <c r="D14" s="4">
        <v>92</v>
      </c>
      <c r="E14" s="5">
        <v>60</v>
      </c>
      <c r="F14" s="12">
        <v>46147</v>
      </c>
      <c r="G14" s="13">
        <v>46118</v>
      </c>
      <c r="H14" s="13">
        <v>46179</v>
      </c>
      <c r="I14" s="14">
        <v>46147</v>
      </c>
      <c r="J14" s="3">
        <v>45</v>
      </c>
      <c r="K14" s="4">
        <v>50</v>
      </c>
      <c r="L14" s="4">
        <v>40</v>
      </c>
      <c r="M14" s="5">
        <v>45</v>
      </c>
      <c r="N14" s="3">
        <v>25</v>
      </c>
      <c r="O14" s="4">
        <v>60</v>
      </c>
      <c r="P14" s="4">
        <v>40</v>
      </c>
      <c r="Q14" s="5">
        <v>30</v>
      </c>
      <c r="R14" s="3">
        <v>85</v>
      </c>
      <c r="S14" s="4">
        <v>90</v>
      </c>
      <c r="T14" s="4">
        <v>35</v>
      </c>
      <c r="U14" s="5">
        <v>30</v>
      </c>
    </row>
    <row r="15" spans="1:21">
      <c r="A15" s="2">
        <v>13</v>
      </c>
      <c r="B15" s="3"/>
      <c r="C15" s="4"/>
      <c r="D15" s="4"/>
      <c r="E15" s="5"/>
      <c r="F15" s="3"/>
      <c r="G15" s="4"/>
      <c r="H15" s="4"/>
      <c r="I15" s="5"/>
      <c r="J15" s="3"/>
      <c r="K15" s="4"/>
      <c r="L15" s="4"/>
      <c r="M15" s="5"/>
      <c r="N15" s="3"/>
      <c r="O15" s="4"/>
      <c r="P15" s="4"/>
      <c r="Q15" s="5"/>
      <c r="R15" s="3"/>
      <c r="S15" s="4"/>
      <c r="T15" s="4"/>
      <c r="U15" s="5"/>
    </row>
    <row r="16" spans="1:21">
      <c r="A16" s="2">
        <v>14</v>
      </c>
      <c r="B16" s="3"/>
      <c r="C16" s="4"/>
      <c r="D16" s="4"/>
      <c r="E16" s="5"/>
      <c r="F16" s="3"/>
      <c r="G16" s="4"/>
      <c r="H16" s="4"/>
      <c r="I16" s="5"/>
      <c r="J16" s="3"/>
      <c r="K16" s="4"/>
      <c r="L16" s="4"/>
      <c r="M16" s="5"/>
      <c r="N16" s="3"/>
      <c r="O16" s="4"/>
      <c r="P16" s="4"/>
      <c r="Q16" s="5"/>
      <c r="R16" s="3"/>
      <c r="S16" s="4"/>
      <c r="T16" s="4"/>
      <c r="U16" s="5"/>
    </row>
    <row r="17" spans="1:21">
      <c r="A17" s="2">
        <v>15</v>
      </c>
      <c r="B17" s="3"/>
      <c r="C17" s="4"/>
      <c r="D17" s="4"/>
      <c r="E17" s="5"/>
      <c r="F17" s="3"/>
      <c r="G17" s="4"/>
      <c r="H17" s="4"/>
      <c r="I17" s="5"/>
      <c r="J17" s="3"/>
      <c r="K17" s="4"/>
      <c r="L17" s="4"/>
      <c r="M17" s="5"/>
      <c r="N17" s="3"/>
      <c r="O17" s="4"/>
      <c r="P17" s="4"/>
      <c r="Q17" s="5"/>
      <c r="R17" s="3"/>
      <c r="S17" s="4"/>
      <c r="T17" s="4"/>
      <c r="U17" s="5"/>
    </row>
    <row r="18" spans="1:21">
      <c r="A18" s="2">
        <v>16</v>
      </c>
      <c r="B18" s="3"/>
      <c r="C18" s="4"/>
      <c r="D18" s="4"/>
      <c r="E18" s="5"/>
      <c r="F18" s="3"/>
      <c r="G18" s="4"/>
      <c r="H18" s="4"/>
      <c r="I18" s="5"/>
      <c r="J18" s="3"/>
      <c r="K18" s="4"/>
      <c r="L18" s="4"/>
      <c r="M18" s="5"/>
      <c r="N18" s="3"/>
      <c r="O18" s="4"/>
      <c r="P18" s="4"/>
      <c r="Q18" s="5"/>
      <c r="R18" s="3"/>
      <c r="S18" s="4"/>
      <c r="T18" s="4"/>
      <c r="U18" s="5"/>
    </row>
    <row r="19" spans="1:21">
      <c r="A19" s="2">
        <v>17</v>
      </c>
      <c r="B19" s="3"/>
      <c r="C19" s="4"/>
      <c r="D19" s="4"/>
      <c r="E19" s="5"/>
      <c r="F19" s="3"/>
      <c r="G19" s="4"/>
      <c r="H19" s="4"/>
      <c r="I19" s="5"/>
      <c r="J19" s="3"/>
      <c r="K19" s="4"/>
      <c r="L19" s="4"/>
      <c r="M19" s="5"/>
      <c r="N19" s="3"/>
      <c r="O19" s="4"/>
      <c r="P19" s="4"/>
      <c r="Q19" s="5"/>
      <c r="R19" s="3"/>
      <c r="S19" s="4"/>
      <c r="T19" s="4"/>
      <c r="U19" s="5"/>
    </row>
    <row r="20" spans="1:21">
      <c r="A20" s="2">
        <v>18</v>
      </c>
      <c r="B20" s="3"/>
      <c r="C20" s="4"/>
      <c r="D20" s="4"/>
      <c r="E20" s="5"/>
      <c r="F20" s="3"/>
      <c r="G20" s="4"/>
      <c r="H20" s="4"/>
      <c r="I20" s="5"/>
      <c r="J20" s="3"/>
      <c r="K20" s="4"/>
      <c r="L20" s="4"/>
      <c r="M20" s="5"/>
      <c r="N20" s="3"/>
      <c r="O20" s="4"/>
      <c r="P20" s="4"/>
      <c r="Q20" s="5"/>
      <c r="R20" s="3"/>
      <c r="S20" s="4"/>
      <c r="T20" s="4"/>
      <c r="U20" s="5"/>
    </row>
    <row r="21" spans="1:21">
      <c r="A21" s="2">
        <v>19</v>
      </c>
      <c r="B21" s="3"/>
      <c r="C21" s="4"/>
      <c r="D21" s="4"/>
      <c r="E21" s="5"/>
      <c r="F21" s="3"/>
      <c r="G21" s="4"/>
      <c r="H21" s="4"/>
      <c r="I21" s="5"/>
      <c r="J21" s="3"/>
      <c r="K21" s="4"/>
      <c r="L21" s="4"/>
      <c r="M21" s="5"/>
      <c r="N21" s="3"/>
      <c r="O21" s="4"/>
      <c r="P21" s="4"/>
      <c r="Q21" s="5"/>
      <c r="R21" s="3"/>
      <c r="S21" s="4"/>
      <c r="T21" s="4"/>
      <c r="U21" s="5"/>
    </row>
    <row r="22" spans="1:21">
      <c r="A22" s="2">
        <v>20</v>
      </c>
      <c r="B22" s="3"/>
      <c r="C22" s="4"/>
      <c r="D22" s="4"/>
      <c r="E22" s="5"/>
      <c r="F22" s="3"/>
      <c r="G22" s="4"/>
      <c r="H22" s="4"/>
      <c r="I22" s="5"/>
      <c r="J22" s="3"/>
      <c r="K22" s="4"/>
      <c r="L22" s="4"/>
      <c r="M22" s="5"/>
      <c r="N22" s="3"/>
      <c r="O22" s="4"/>
      <c r="P22" s="4"/>
      <c r="Q22" s="5"/>
      <c r="R22" s="3"/>
      <c r="S22" s="4"/>
      <c r="T22" s="4"/>
      <c r="U22" s="5"/>
    </row>
    <row r="23" spans="1:21">
      <c r="A23" s="2">
        <v>21</v>
      </c>
      <c r="B23" s="3"/>
      <c r="C23" s="4"/>
      <c r="D23" s="4"/>
      <c r="E23" s="5"/>
      <c r="F23" s="3"/>
      <c r="G23" s="4"/>
      <c r="H23" s="4"/>
      <c r="I23" s="5"/>
      <c r="J23" s="3"/>
      <c r="K23" s="4"/>
      <c r="L23" s="4"/>
      <c r="M23" s="5"/>
      <c r="N23" s="3"/>
      <c r="O23" s="4"/>
      <c r="P23" s="4"/>
      <c r="Q23" s="5"/>
      <c r="R23" s="3"/>
      <c r="S23" s="4"/>
      <c r="T23" s="4"/>
      <c r="U23" s="5"/>
    </row>
    <row r="24" spans="1:21">
      <c r="A24" s="2">
        <v>22</v>
      </c>
      <c r="B24" s="3"/>
      <c r="C24" s="4"/>
      <c r="D24" s="4"/>
      <c r="E24" s="5"/>
      <c r="F24" s="3"/>
      <c r="G24" s="4"/>
      <c r="H24" s="4"/>
      <c r="I24" s="5"/>
      <c r="J24" s="3"/>
      <c r="K24" s="4"/>
      <c r="L24" s="4"/>
      <c r="M24" s="5"/>
      <c r="N24" s="3"/>
      <c r="O24" s="4"/>
      <c r="P24" s="4"/>
      <c r="Q24" s="5"/>
      <c r="R24" s="3"/>
      <c r="S24" s="4"/>
      <c r="T24" s="4"/>
      <c r="U24" s="5"/>
    </row>
    <row r="25" spans="1:21">
      <c r="A25" s="2">
        <v>23</v>
      </c>
      <c r="B25" s="3"/>
      <c r="C25" s="4"/>
      <c r="D25" s="4"/>
      <c r="E25" s="5"/>
      <c r="F25" s="3"/>
      <c r="G25" s="4"/>
      <c r="H25" s="4"/>
      <c r="I25" s="5"/>
      <c r="J25" s="3"/>
      <c r="K25" s="4"/>
      <c r="L25" s="4"/>
      <c r="M25" s="5"/>
      <c r="N25" s="3"/>
      <c r="O25" s="4"/>
      <c r="P25" s="4"/>
      <c r="Q25" s="5"/>
      <c r="R25" s="3"/>
      <c r="S25" s="4"/>
      <c r="T25" s="4"/>
      <c r="U25" s="5"/>
    </row>
    <row r="26" spans="1:21">
      <c r="A26" s="2">
        <v>24</v>
      </c>
      <c r="B26" s="3"/>
      <c r="C26" s="4"/>
      <c r="D26" s="4"/>
      <c r="E26" s="5"/>
      <c r="F26" s="3"/>
      <c r="G26" s="4"/>
      <c r="H26" s="4"/>
      <c r="I26" s="5"/>
      <c r="J26" s="3"/>
      <c r="K26" s="4"/>
      <c r="L26" s="4"/>
      <c r="M26" s="5"/>
      <c r="N26" s="3"/>
      <c r="O26" s="4"/>
      <c r="P26" s="4"/>
      <c r="Q26" s="5"/>
      <c r="R26" s="3"/>
      <c r="S26" s="4"/>
      <c r="T26" s="4"/>
      <c r="U26" s="5"/>
    </row>
    <row r="27" spans="1:21">
      <c r="A27" s="2">
        <v>25</v>
      </c>
      <c r="B27" s="3"/>
      <c r="C27" s="4"/>
      <c r="D27" s="4"/>
      <c r="E27" s="5"/>
      <c r="F27" s="3"/>
      <c r="G27" s="4"/>
      <c r="H27" s="4"/>
      <c r="I27" s="5"/>
      <c r="J27" s="3"/>
      <c r="K27" s="4"/>
      <c r="L27" s="4"/>
      <c r="M27" s="5"/>
      <c r="N27" s="3"/>
      <c r="O27" s="4"/>
      <c r="P27" s="4"/>
      <c r="Q27" s="5"/>
      <c r="R27" s="3"/>
      <c r="S27" s="4"/>
      <c r="T27" s="4"/>
      <c r="U27" s="5"/>
    </row>
    <row r="28" spans="1:21">
      <c r="A28" s="2">
        <v>26</v>
      </c>
      <c r="B28" s="3"/>
      <c r="C28" s="4"/>
      <c r="D28" s="4"/>
      <c r="E28" s="5"/>
      <c r="F28" s="3"/>
      <c r="G28" s="4"/>
      <c r="H28" s="4"/>
      <c r="I28" s="5"/>
      <c r="J28" s="3"/>
      <c r="K28" s="4"/>
      <c r="L28" s="4"/>
      <c r="M28" s="5"/>
      <c r="N28" s="3"/>
      <c r="O28" s="4"/>
      <c r="P28" s="4"/>
      <c r="Q28" s="5"/>
      <c r="R28" s="3"/>
      <c r="S28" s="4"/>
      <c r="T28" s="4"/>
      <c r="U28" s="5"/>
    </row>
    <row r="29" spans="1:21">
      <c r="A29" s="2">
        <v>27</v>
      </c>
      <c r="B29" s="3"/>
      <c r="C29" s="4"/>
      <c r="D29" s="4"/>
      <c r="E29" s="5"/>
      <c r="F29" s="3"/>
      <c r="G29" s="4"/>
      <c r="H29" s="4"/>
      <c r="I29" s="5"/>
      <c r="J29" s="3"/>
      <c r="K29" s="4"/>
      <c r="L29" s="4"/>
      <c r="M29" s="5"/>
      <c r="N29" s="3"/>
      <c r="O29" s="4"/>
      <c r="P29" s="4"/>
      <c r="Q29" s="5"/>
      <c r="R29" s="3"/>
      <c r="S29" s="4"/>
      <c r="T29" s="4"/>
      <c r="U29" s="5"/>
    </row>
    <row r="30" spans="1:21">
      <c r="A30" s="2">
        <v>28</v>
      </c>
      <c r="B30" s="3"/>
      <c r="C30" s="4"/>
      <c r="D30" s="4"/>
      <c r="E30" s="5"/>
      <c r="F30" s="3"/>
      <c r="G30" s="4"/>
      <c r="H30" s="4"/>
      <c r="I30" s="5"/>
      <c r="J30" s="3"/>
      <c r="K30" s="4"/>
      <c r="L30" s="4"/>
      <c r="M30" s="5"/>
      <c r="N30" s="3"/>
      <c r="O30" s="4"/>
      <c r="P30" s="4"/>
      <c r="Q30" s="5"/>
      <c r="R30" s="3"/>
      <c r="S30" s="4"/>
      <c r="T30" s="4"/>
      <c r="U30" s="5"/>
    </row>
    <row r="31" spans="1:21">
      <c r="A31" s="2">
        <v>29</v>
      </c>
      <c r="B31" s="3"/>
      <c r="C31" s="4"/>
      <c r="D31" s="4"/>
      <c r="E31" s="5"/>
      <c r="F31" s="3"/>
      <c r="G31" s="4"/>
      <c r="H31" s="4"/>
      <c r="I31" s="5"/>
      <c r="J31" s="3"/>
      <c r="K31" s="4"/>
      <c r="L31" s="4"/>
      <c r="M31" s="5"/>
      <c r="N31" s="3"/>
      <c r="O31" s="4"/>
      <c r="P31" s="4"/>
      <c r="Q31" s="5"/>
      <c r="R31" s="3"/>
      <c r="S31" s="4"/>
      <c r="T31" s="4"/>
      <c r="U31" s="5"/>
    </row>
    <row r="32" spans="1:21">
      <c r="A32" s="2">
        <v>30</v>
      </c>
      <c r="B32" s="3"/>
      <c r="C32" s="4"/>
      <c r="D32" s="4"/>
      <c r="E32" s="5"/>
      <c r="F32" s="3"/>
      <c r="G32" s="4"/>
      <c r="H32" s="4"/>
      <c r="I32" s="5"/>
      <c r="J32" s="3"/>
      <c r="K32" s="4"/>
      <c r="L32" s="4"/>
      <c r="M32" s="5"/>
      <c r="N32" s="3"/>
      <c r="O32" s="4"/>
      <c r="P32" s="4"/>
      <c r="Q32" s="5"/>
      <c r="R32" s="3"/>
      <c r="S32" s="4"/>
      <c r="T32" s="4"/>
      <c r="U32" s="5"/>
    </row>
    <row r="33" spans="1:21">
      <c r="A33" s="2">
        <v>31</v>
      </c>
      <c r="B33" s="3"/>
      <c r="C33" s="4"/>
      <c r="D33" s="4"/>
      <c r="E33" s="5"/>
      <c r="F33" s="3"/>
      <c r="G33" s="4"/>
      <c r="H33" s="4"/>
      <c r="I33" s="5"/>
      <c r="J33" s="3"/>
      <c r="K33" s="4"/>
      <c r="L33" s="4"/>
      <c r="M33" s="5"/>
      <c r="N33" s="3"/>
      <c r="O33" s="4"/>
      <c r="P33" s="4"/>
      <c r="Q33" s="5"/>
      <c r="R33" s="3"/>
      <c r="S33" s="4"/>
      <c r="T33" s="4"/>
      <c r="U33" s="5"/>
    </row>
    <row r="34" spans="1:21">
      <c r="A34" s="2">
        <v>32</v>
      </c>
      <c r="B34" s="3"/>
      <c r="C34" s="4"/>
      <c r="D34" s="4"/>
      <c r="E34" s="5"/>
      <c r="F34" s="3"/>
      <c r="G34" s="4"/>
      <c r="H34" s="4"/>
      <c r="I34" s="5"/>
      <c r="J34" s="3"/>
      <c r="K34" s="4"/>
      <c r="L34" s="4"/>
      <c r="M34" s="5"/>
      <c r="N34" s="3"/>
      <c r="O34" s="4"/>
      <c r="P34" s="4"/>
      <c r="Q34" s="5"/>
      <c r="R34" s="3"/>
      <c r="S34" s="4"/>
      <c r="T34" s="4"/>
      <c r="U34" s="5"/>
    </row>
    <row r="35" spans="1:21">
      <c r="A35" s="2">
        <v>33</v>
      </c>
      <c r="B35" s="3"/>
      <c r="C35" s="4"/>
      <c r="D35" s="4"/>
      <c r="E35" s="5"/>
      <c r="F35" s="3"/>
      <c r="G35" s="4"/>
      <c r="H35" s="4"/>
      <c r="I35" s="5"/>
      <c r="J35" s="3"/>
      <c r="K35" s="4"/>
      <c r="L35" s="4"/>
      <c r="M35" s="5"/>
      <c r="N35" s="3"/>
      <c r="O35" s="4"/>
      <c r="P35" s="4"/>
      <c r="Q35" s="5"/>
      <c r="R35" s="3"/>
      <c r="S35" s="4"/>
      <c r="T35" s="4"/>
      <c r="U35" s="5"/>
    </row>
    <row r="36" spans="1:21">
      <c r="A36" s="2">
        <v>34</v>
      </c>
      <c r="B36" s="3"/>
      <c r="C36" s="4"/>
      <c r="D36" s="4"/>
      <c r="E36" s="5"/>
      <c r="F36" s="3"/>
      <c r="G36" s="4"/>
      <c r="H36" s="4"/>
      <c r="I36" s="5"/>
      <c r="J36" s="3"/>
      <c r="K36" s="4"/>
      <c r="L36" s="4"/>
      <c r="M36" s="5"/>
      <c r="N36" s="3"/>
      <c r="O36" s="4"/>
      <c r="P36" s="4"/>
      <c r="Q36" s="5"/>
      <c r="R36" s="3"/>
      <c r="S36" s="4"/>
      <c r="T36" s="4"/>
      <c r="U36" s="5"/>
    </row>
    <row r="37" spans="1:21">
      <c r="A37" s="2">
        <v>35</v>
      </c>
      <c r="B37" s="3"/>
      <c r="C37" s="4"/>
      <c r="D37" s="4"/>
      <c r="E37" s="5"/>
      <c r="F37" s="3"/>
      <c r="G37" s="4"/>
      <c r="H37" s="4"/>
      <c r="I37" s="5"/>
      <c r="J37" s="3"/>
      <c r="K37" s="4"/>
      <c r="L37" s="4"/>
      <c r="M37" s="5"/>
      <c r="N37" s="3"/>
      <c r="O37" s="4"/>
      <c r="P37" s="4"/>
      <c r="Q37" s="5"/>
      <c r="R37" s="3"/>
      <c r="S37" s="4"/>
      <c r="T37" s="4"/>
      <c r="U37" s="5"/>
    </row>
    <row r="38" spans="1:21">
      <c r="A38" s="2">
        <v>36</v>
      </c>
      <c r="B38" s="3"/>
      <c r="C38" s="4"/>
      <c r="D38" s="4"/>
      <c r="E38" s="5"/>
      <c r="F38" s="3"/>
      <c r="G38" s="4"/>
      <c r="H38" s="4"/>
      <c r="I38" s="5"/>
      <c r="J38" s="3"/>
      <c r="K38" s="4"/>
      <c r="L38" s="4"/>
      <c r="M38" s="5"/>
      <c r="N38" s="3"/>
      <c r="O38" s="4"/>
      <c r="P38" s="4"/>
      <c r="Q38" s="5"/>
      <c r="R38" s="3"/>
      <c r="S38" s="4"/>
      <c r="T38" s="4"/>
      <c r="U38" s="5"/>
    </row>
    <row r="39" spans="1:21">
      <c r="A39" s="2">
        <v>37</v>
      </c>
      <c r="B39" s="3"/>
      <c r="C39" s="4"/>
      <c r="D39" s="4"/>
      <c r="E39" s="5"/>
      <c r="F39" s="3"/>
      <c r="G39" s="4"/>
      <c r="H39" s="4"/>
      <c r="I39" s="5"/>
      <c r="J39" s="3"/>
      <c r="K39" s="4"/>
      <c r="L39" s="4"/>
      <c r="M39" s="5"/>
      <c r="N39" s="3"/>
      <c r="O39" s="4"/>
      <c r="P39" s="4"/>
      <c r="Q39" s="5"/>
      <c r="R39" s="3"/>
      <c r="S39" s="4"/>
      <c r="T39" s="4"/>
      <c r="U39" s="5"/>
    </row>
    <row r="40" spans="1:21">
      <c r="A40" s="2">
        <v>38</v>
      </c>
      <c r="B40" s="3"/>
      <c r="C40" s="4"/>
      <c r="D40" s="4"/>
      <c r="E40" s="5"/>
      <c r="F40" s="3"/>
      <c r="G40" s="4"/>
      <c r="H40" s="4"/>
      <c r="I40" s="5"/>
      <c r="J40" s="3"/>
      <c r="K40" s="4"/>
      <c r="L40" s="4"/>
      <c r="M40" s="5"/>
      <c r="N40" s="3"/>
      <c r="O40" s="4"/>
      <c r="P40" s="4"/>
      <c r="Q40" s="5"/>
      <c r="R40" s="3"/>
      <c r="S40" s="4"/>
      <c r="T40" s="4"/>
      <c r="U40" s="5"/>
    </row>
    <row r="41" spans="1:21">
      <c r="A41" s="2">
        <v>39</v>
      </c>
      <c r="B41" s="3"/>
      <c r="C41" s="4"/>
      <c r="D41" s="4"/>
      <c r="E41" s="5"/>
      <c r="F41" s="3"/>
      <c r="G41" s="4"/>
      <c r="H41" s="4"/>
      <c r="I41" s="5"/>
      <c r="J41" s="3"/>
      <c r="K41" s="4"/>
      <c r="L41" s="4"/>
      <c r="M41" s="5"/>
      <c r="N41" s="3"/>
      <c r="O41" s="4"/>
      <c r="P41" s="4"/>
      <c r="Q41" s="5"/>
      <c r="R41" s="3"/>
      <c r="S41" s="4"/>
      <c r="T41" s="4"/>
      <c r="U41" s="5"/>
    </row>
    <row r="42" spans="1:21">
      <c r="A42" s="2">
        <v>40</v>
      </c>
      <c r="B42" s="3"/>
      <c r="C42" s="4"/>
      <c r="D42" s="4"/>
      <c r="E42" s="5"/>
      <c r="F42" s="3"/>
      <c r="G42" s="4"/>
      <c r="H42" s="4"/>
      <c r="I42" s="5"/>
      <c r="J42" s="3"/>
      <c r="K42" s="4"/>
      <c r="L42" s="4"/>
      <c r="M42" s="5"/>
      <c r="N42" s="3"/>
      <c r="O42" s="4"/>
      <c r="P42" s="4"/>
      <c r="Q42" s="5"/>
      <c r="R42" s="3"/>
      <c r="S42" s="4"/>
      <c r="T42" s="4"/>
      <c r="U42" s="5"/>
    </row>
    <row r="43" spans="1:21">
      <c r="A43" s="2">
        <v>41</v>
      </c>
      <c r="B43" s="3"/>
      <c r="C43" s="4"/>
      <c r="D43" s="4"/>
      <c r="E43" s="5"/>
      <c r="F43" s="3"/>
      <c r="G43" s="4"/>
      <c r="H43" s="4"/>
      <c r="I43" s="5"/>
      <c r="J43" s="3"/>
      <c r="K43" s="4"/>
      <c r="L43" s="4"/>
      <c r="M43" s="5"/>
      <c r="N43" s="3"/>
      <c r="O43" s="4"/>
      <c r="P43" s="4"/>
      <c r="Q43" s="5"/>
      <c r="R43" s="3"/>
      <c r="S43" s="4"/>
      <c r="T43" s="4"/>
      <c r="U43" s="5"/>
    </row>
    <row r="44" spans="1:21">
      <c r="A44" s="2">
        <v>42</v>
      </c>
      <c r="B44" s="3"/>
      <c r="C44" s="4"/>
      <c r="D44" s="4"/>
      <c r="E44" s="5"/>
      <c r="F44" s="3"/>
      <c r="G44" s="4"/>
      <c r="H44" s="4"/>
      <c r="I44" s="5"/>
      <c r="J44" s="3"/>
      <c r="K44" s="4"/>
      <c r="L44" s="4"/>
      <c r="M44" s="5"/>
      <c r="N44" s="3"/>
      <c r="O44" s="4"/>
      <c r="P44" s="4"/>
      <c r="Q44" s="5"/>
      <c r="R44" s="3"/>
      <c r="S44" s="4"/>
      <c r="T44" s="4"/>
      <c r="U44" s="5"/>
    </row>
    <row r="45" spans="1:21">
      <c r="A45" s="2">
        <v>43</v>
      </c>
      <c r="B45" s="3"/>
      <c r="C45" s="4"/>
      <c r="D45" s="4"/>
      <c r="E45" s="5"/>
      <c r="F45" s="3"/>
      <c r="G45" s="4"/>
      <c r="H45" s="4"/>
      <c r="I45" s="5"/>
      <c r="J45" s="3"/>
      <c r="K45" s="4"/>
      <c r="L45" s="4"/>
      <c r="M45" s="5"/>
      <c r="N45" s="3"/>
      <c r="O45" s="4"/>
      <c r="P45" s="4"/>
      <c r="Q45" s="5"/>
      <c r="R45" s="3"/>
      <c r="S45" s="4"/>
      <c r="T45" s="4"/>
      <c r="U45" s="5"/>
    </row>
    <row r="46" spans="1:21">
      <c r="A46" s="2">
        <v>44</v>
      </c>
      <c r="B46" s="3"/>
      <c r="C46" s="4"/>
      <c r="D46" s="4"/>
      <c r="E46" s="5"/>
      <c r="F46" s="3"/>
      <c r="G46" s="4"/>
      <c r="H46" s="4"/>
      <c r="I46" s="5"/>
      <c r="J46" s="3"/>
      <c r="K46" s="4"/>
      <c r="L46" s="4"/>
      <c r="M46" s="5"/>
      <c r="N46" s="3"/>
      <c r="O46" s="4"/>
      <c r="P46" s="4"/>
      <c r="Q46" s="5"/>
      <c r="R46" s="3"/>
      <c r="S46" s="4"/>
      <c r="T46" s="4"/>
      <c r="U46" s="5"/>
    </row>
    <row r="47" spans="1:21">
      <c r="A47" s="2">
        <v>45</v>
      </c>
      <c r="B47" s="3"/>
      <c r="C47" s="4"/>
      <c r="D47" s="4"/>
      <c r="E47" s="5"/>
      <c r="F47" s="3"/>
      <c r="G47" s="4"/>
      <c r="H47" s="4"/>
      <c r="I47" s="5"/>
      <c r="J47" s="3"/>
      <c r="K47" s="4"/>
      <c r="L47" s="4"/>
      <c r="M47" s="5"/>
      <c r="N47" s="3"/>
      <c r="O47" s="4"/>
      <c r="P47" s="4"/>
      <c r="Q47" s="5"/>
      <c r="R47" s="3"/>
      <c r="S47" s="4"/>
      <c r="T47" s="4"/>
      <c r="U47" s="5"/>
    </row>
    <row r="48" spans="1:21">
      <c r="A48" s="2">
        <v>46</v>
      </c>
      <c r="B48" s="3"/>
      <c r="C48" s="4"/>
      <c r="D48" s="4"/>
      <c r="E48" s="5"/>
      <c r="F48" s="3"/>
      <c r="G48" s="4"/>
      <c r="H48" s="4"/>
      <c r="I48" s="5"/>
      <c r="J48" s="3"/>
      <c r="K48" s="4"/>
      <c r="L48" s="4"/>
      <c r="M48" s="5"/>
      <c r="N48" s="3"/>
      <c r="O48" s="4"/>
      <c r="P48" s="4"/>
      <c r="Q48" s="5"/>
      <c r="R48" s="3"/>
      <c r="S48" s="4"/>
      <c r="T48" s="4"/>
      <c r="U48" s="5"/>
    </row>
    <row r="49" spans="1:21">
      <c r="A49" s="2">
        <v>47</v>
      </c>
      <c r="B49" s="3"/>
      <c r="C49" s="4"/>
      <c r="D49" s="4"/>
      <c r="E49" s="5"/>
      <c r="F49" s="3"/>
      <c r="G49" s="4"/>
      <c r="H49" s="4"/>
      <c r="I49" s="5"/>
      <c r="J49" s="3"/>
      <c r="K49" s="4"/>
      <c r="L49" s="4"/>
      <c r="M49" s="5"/>
      <c r="N49" s="3"/>
      <c r="O49" s="4"/>
      <c r="P49" s="4"/>
      <c r="Q49" s="5"/>
      <c r="R49" s="3"/>
      <c r="S49" s="4"/>
      <c r="T49" s="4"/>
      <c r="U49" s="5"/>
    </row>
    <row r="50" spans="1:21">
      <c r="A50" s="2">
        <v>48</v>
      </c>
      <c r="B50" s="3"/>
      <c r="C50" s="4"/>
      <c r="D50" s="4"/>
      <c r="E50" s="5"/>
      <c r="F50" s="3"/>
      <c r="G50" s="4"/>
      <c r="H50" s="4"/>
      <c r="I50" s="5"/>
      <c r="J50" s="3"/>
      <c r="K50" s="4"/>
      <c r="L50" s="4"/>
      <c r="M50" s="5"/>
      <c r="N50" s="3"/>
      <c r="O50" s="4"/>
      <c r="P50" s="4"/>
      <c r="Q50" s="5"/>
      <c r="R50" s="3"/>
      <c r="S50" s="4"/>
      <c r="T50" s="4"/>
      <c r="U50" s="5"/>
    </row>
    <row r="51" spans="1:21">
      <c r="A51" s="2">
        <v>49</v>
      </c>
      <c r="B51" s="3"/>
      <c r="C51" s="4"/>
      <c r="D51" s="4"/>
      <c r="E51" s="5"/>
      <c r="F51" s="3"/>
      <c r="G51" s="4"/>
      <c r="H51" s="4"/>
      <c r="I51" s="5"/>
      <c r="J51" s="3"/>
      <c r="K51" s="4"/>
      <c r="L51" s="4"/>
      <c r="M51" s="5"/>
      <c r="N51" s="3"/>
      <c r="O51" s="4"/>
      <c r="P51" s="4"/>
      <c r="Q51" s="5"/>
      <c r="R51" s="3"/>
      <c r="S51" s="4"/>
      <c r="T51" s="4"/>
      <c r="U51" s="5"/>
    </row>
    <row r="52" spans="1:21">
      <c r="A52" s="2">
        <v>50</v>
      </c>
      <c r="B52" s="15"/>
      <c r="C52" s="16"/>
      <c r="D52" s="16"/>
      <c r="E52" s="17"/>
      <c r="F52" s="15"/>
      <c r="G52" s="16"/>
      <c r="H52" s="16"/>
      <c r="I52" s="17"/>
      <c r="J52" s="15"/>
      <c r="K52" s="16"/>
      <c r="L52" s="16"/>
      <c r="M52" s="17"/>
      <c r="N52" s="15"/>
      <c r="O52" s="16"/>
      <c r="P52" s="16"/>
      <c r="Q52" s="17"/>
      <c r="R52" s="15"/>
      <c r="S52" s="16"/>
      <c r="T52" s="16"/>
      <c r="U52" s="17"/>
    </row>
  </sheetData>
  <mergeCells count="5">
    <mergeCell ref="B1:E1"/>
    <mergeCell ref="F1:I1"/>
    <mergeCell ref="J1:M1"/>
    <mergeCell ref="N1:Q1"/>
    <mergeCell ref="R1:U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</sheetPr>
  <dimension ref="A1:J161"/>
  <sheetViews>
    <sheetView tabSelected="1" workbookViewId="0">
      <selection activeCell="C13" sqref="C13"/>
    </sheetView>
  </sheetViews>
  <sheetFormatPr defaultColWidth="12.6640625" defaultRowHeight="15.75" customHeight="1"/>
  <cols>
    <col min="7" max="7" width="14.88671875" bestFit="1" customWidth="1"/>
    <col min="8" max="8" width="16.21875" bestFit="1" customWidth="1"/>
    <col min="9" max="9" width="18.5546875" bestFit="1" customWidth="1"/>
    <col min="10" max="10" width="13.88671875" bestFit="1" customWidth="1"/>
  </cols>
  <sheetData>
    <row r="1" spans="1:10" ht="15.75" customHeight="1" thickBot="1">
      <c r="A1" s="20" t="s">
        <v>0</v>
      </c>
      <c r="B1" s="20" t="s">
        <v>21</v>
      </c>
      <c r="C1" s="20" t="s">
        <v>22</v>
      </c>
      <c r="D1" s="20" t="s">
        <v>23</v>
      </c>
      <c r="E1" s="20" t="s">
        <v>24</v>
      </c>
      <c r="F1" s="20" t="s">
        <v>25</v>
      </c>
      <c r="G1" s="20" t="s">
        <v>18</v>
      </c>
      <c r="H1" s="20" t="s">
        <v>19</v>
      </c>
      <c r="I1" s="20" t="s">
        <v>20</v>
      </c>
      <c r="J1" s="20" t="s">
        <v>26</v>
      </c>
    </row>
    <row r="2" spans="1:10" ht="15.75" customHeight="1" thickBot="1">
      <c r="A2" s="21">
        <v>1</v>
      </c>
      <c r="B2" s="22" t="s">
        <v>2</v>
      </c>
      <c r="C2" s="22" t="s">
        <v>30</v>
      </c>
      <c r="D2" s="22" t="s">
        <v>32</v>
      </c>
      <c r="E2" s="21">
        <v>69</v>
      </c>
      <c r="F2" s="21">
        <v>1</v>
      </c>
      <c r="G2" s="21">
        <v>40</v>
      </c>
      <c r="H2" s="21">
        <v>35</v>
      </c>
      <c r="I2" s="21">
        <v>30</v>
      </c>
      <c r="J2" s="21">
        <v>35</v>
      </c>
    </row>
    <row r="3" spans="1:10" ht="15.75" customHeight="1" thickBot="1">
      <c r="A3" s="21">
        <v>1</v>
      </c>
      <c r="B3" s="22" t="s">
        <v>3</v>
      </c>
      <c r="C3" s="22" t="s">
        <v>30</v>
      </c>
      <c r="D3" s="22" t="s">
        <v>33</v>
      </c>
      <c r="E3" s="21">
        <v>56</v>
      </c>
      <c r="F3" s="21">
        <v>0.67</v>
      </c>
      <c r="G3" s="21">
        <v>50</v>
      </c>
      <c r="H3" s="21">
        <v>45</v>
      </c>
      <c r="I3" s="21">
        <v>40</v>
      </c>
      <c r="J3" s="21">
        <v>45</v>
      </c>
    </row>
    <row r="4" spans="1:10" ht="15.75" customHeight="1" thickBot="1">
      <c r="A4" s="21">
        <v>1</v>
      </c>
      <c r="B4" s="22" t="s">
        <v>4</v>
      </c>
      <c r="C4" s="22" t="s">
        <v>31</v>
      </c>
      <c r="D4" s="22" t="s">
        <v>33</v>
      </c>
      <c r="E4" s="21">
        <v>57</v>
      </c>
      <c r="F4" s="21">
        <v>1</v>
      </c>
      <c r="G4" s="21">
        <v>5</v>
      </c>
      <c r="H4" s="21">
        <v>5</v>
      </c>
      <c r="I4" s="21">
        <v>15</v>
      </c>
      <c r="J4" s="21">
        <v>8.3000000000000007</v>
      </c>
    </row>
    <row r="5" spans="1:10" ht="15.75" customHeight="1" thickBot="1">
      <c r="A5" s="21">
        <v>1</v>
      </c>
      <c r="B5" s="22" t="s">
        <v>5</v>
      </c>
      <c r="C5" s="22" t="s">
        <v>31</v>
      </c>
      <c r="D5" s="22" t="s">
        <v>32</v>
      </c>
      <c r="E5" s="21">
        <v>56</v>
      </c>
      <c r="F5" s="21">
        <v>0.8</v>
      </c>
      <c r="G5" s="21">
        <v>35</v>
      </c>
      <c r="H5" s="21">
        <v>30</v>
      </c>
      <c r="I5" s="21">
        <v>20</v>
      </c>
      <c r="J5" s="21">
        <v>28.3</v>
      </c>
    </row>
    <row r="6" spans="1:10" ht="15.75" customHeight="1" thickBot="1">
      <c r="A6" s="21">
        <v>2</v>
      </c>
      <c r="B6" s="22" t="s">
        <v>2</v>
      </c>
      <c r="C6" s="22" t="s">
        <v>30</v>
      </c>
      <c r="D6" s="22" t="s">
        <v>32</v>
      </c>
      <c r="E6" s="21">
        <v>79</v>
      </c>
      <c r="F6" s="21">
        <v>1</v>
      </c>
      <c r="G6" s="21">
        <v>0</v>
      </c>
      <c r="H6" s="21">
        <v>20</v>
      </c>
      <c r="I6" s="21">
        <v>90</v>
      </c>
      <c r="J6" s="21">
        <v>36.700000000000003</v>
      </c>
    </row>
    <row r="7" spans="1:10" ht="15.75" customHeight="1" thickBot="1">
      <c r="A7" s="21">
        <v>2</v>
      </c>
      <c r="B7" s="22" t="s">
        <v>3</v>
      </c>
      <c r="C7" s="22" t="s">
        <v>30</v>
      </c>
      <c r="D7" s="22" t="s">
        <v>33</v>
      </c>
      <c r="E7" s="21">
        <v>76</v>
      </c>
      <c r="F7" s="21">
        <v>1</v>
      </c>
      <c r="G7" s="21">
        <v>35</v>
      </c>
      <c r="H7" s="21">
        <v>30</v>
      </c>
      <c r="I7" s="21">
        <v>90</v>
      </c>
      <c r="J7" s="21">
        <v>51.7</v>
      </c>
    </row>
    <row r="8" spans="1:10" ht="15.75" customHeight="1" thickBot="1">
      <c r="A8" s="21">
        <v>2</v>
      </c>
      <c r="B8" s="22" t="s">
        <v>4</v>
      </c>
      <c r="C8" s="22" t="s">
        <v>31</v>
      </c>
      <c r="D8" s="22" t="s">
        <v>33</v>
      </c>
      <c r="E8" s="21">
        <v>63</v>
      </c>
      <c r="F8" s="21">
        <v>0.83</v>
      </c>
      <c r="G8" s="21">
        <v>25</v>
      </c>
      <c r="H8" s="21">
        <v>35</v>
      </c>
      <c r="I8" s="21">
        <v>30</v>
      </c>
      <c r="J8" s="21">
        <v>30</v>
      </c>
    </row>
    <row r="9" spans="1:10" ht="15.75" customHeight="1" thickBot="1">
      <c r="A9" s="21">
        <v>2</v>
      </c>
      <c r="B9" s="22" t="s">
        <v>5</v>
      </c>
      <c r="C9" s="22" t="s">
        <v>31</v>
      </c>
      <c r="D9" s="22" t="s">
        <v>32</v>
      </c>
      <c r="E9" s="21">
        <v>54</v>
      </c>
      <c r="F9" s="21">
        <v>1</v>
      </c>
      <c r="G9" s="21">
        <v>0</v>
      </c>
      <c r="H9" s="21">
        <v>5</v>
      </c>
      <c r="I9" s="21">
        <v>35</v>
      </c>
      <c r="J9" s="21">
        <v>13.3</v>
      </c>
    </row>
    <row r="10" spans="1:10" ht="15.75" customHeight="1" thickBot="1">
      <c r="A10" s="21">
        <v>3</v>
      </c>
      <c r="B10" s="22" t="s">
        <v>2</v>
      </c>
      <c r="C10" s="22" t="s">
        <v>30</v>
      </c>
      <c r="D10" s="22" t="s">
        <v>32</v>
      </c>
      <c r="E10" s="21">
        <v>87</v>
      </c>
      <c r="F10" s="21">
        <v>1</v>
      </c>
      <c r="G10" s="21">
        <v>25</v>
      </c>
      <c r="H10" s="21">
        <v>35</v>
      </c>
      <c r="I10" s="21">
        <v>35</v>
      </c>
      <c r="J10" s="21">
        <v>31.7</v>
      </c>
    </row>
    <row r="11" spans="1:10" ht="15.75" customHeight="1" thickBot="1">
      <c r="A11" s="21">
        <v>3</v>
      </c>
      <c r="B11" s="22" t="s">
        <v>3</v>
      </c>
      <c r="C11" s="22" t="s">
        <v>30</v>
      </c>
      <c r="D11" s="22" t="s">
        <v>33</v>
      </c>
      <c r="E11" s="21">
        <v>98</v>
      </c>
      <c r="F11" s="21">
        <v>0.67</v>
      </c>
      <c r="G11" s="21">
        <v>25</v>
      </c>
      <c r="H11" s="21">
        <v>65</v>
      </c>
      <c r="I11" s="21">
        <v>30</v>
      </c>
      <c r="J11" s="21">
        <v>40</v>
      </c>
    </row>
    <row r="12" spans="1:10" ht="15.75" customHeight="1" thickBot="1">
      <c r="A12" s="21">
        <v>3</v>
      </c>
      <c r="B12" s="22" t="s">
        <v>4</v>
      </c>
      <c r="C12" s="22" t="s">
        <v>31</v>
      </c>
      <c r="D12" s="22" t="s">
        <v>33</v>
      </c>
      <c r="E12" s="21">
        <v>73</v>
      </c>
      <c r="F12" s="21">
        <v>0.67</v>
      </c>
      <c r="G12" s="21">
        <v>10</v>
      </c>
      <c r="H12" s="21">
        <v>45</v>
      </c>
      <c r="I12" s="21">
        <v>25</v>
      </c>
      <c r="J12" s="21">
        <v>26.7</v>
      </c>
    </row>
    <row r="13" spans="1:10" ht="15.75" customHeight="1" thickBot="1">
      <c r="A13" s="21">
        <v>3</v>
      </c>
      <c r="B13" s="22" t="s">
        <v>5</v>
      </c>
      <c r="C13" s="22" t="s">
        <v>31</v>
      </c>
      <c r="D13" s="22" t="s">
        <v>32</v>
      </c>
      <c r="E13" s="21">
        <v>76</v>
      </c>
      <c r="F13" s="21">
        <v>1</v>
      </c>
      <c r="G13" s="21">
        <v>5</v>
      </c>
      <c r="H13" s="21">
        <v>30</v>
      </c>
      <c r="I13" s="21">
        <v>15</v>
      </c>
      <c r="J13" s="21">
        <v>16.7</v>
      </c>
    </row>
    <row r="14" spans="1:10" ht="15.75" customHeight="1" thickBot="1">
      <c r="A14" s="21">
        <v>4</v>
      </c>
      <c r="B14" s="22" t="s">
        <v>2</v>
      </c>
      <c r="C14" s="22" t="s">
        <v>30</v>
      </c>
      <c r="D14" s="22" t="s">
        <v>32</v>
      </c>
      <c r="E14" s="21">
        <v>103</v>
      </c>
      <c r="F14" s="21">
        <v>1</v>
      </c>
      <c r="G14" s="21">
        <v>15</v>
      </c>
      <c r="H14" s="21">
        <v>55</v>
      </c>
      <c r="I14" s="21">
        <v>25</v>
      </c>
      <c r="J14" s="21">
        <v>31.7</v>
      </c>
    </row>
    <row r="15" spans="1:10" ht="15.75" customHeight="1" thickBot="1">
      <c r="A15" s="21">
        <v>4</v>
      </c>
      <c r="B15" s="22" t="s">
        <v>3</v>
      </c>
      <c r="C15" s="22" t="s">
        <v>30</v>
      </c>
      <c r="D15" s="22" t="s">
        <v>33</v>
      </c>
      <c r="E15" s="21">
        <v>98</v>
      </c>
      <c r="F15" s="21">
        <v>0.8</v>
      </c>
      <c r="G15" s="21">
        <v>30</v>
      </c>
      <c r="H15" s="21">
        <v>40</v>
      </c>
      <c r="I15" s="21">
        <v>30</v>
      </c>
      <c r="J15" s="21">
        <v>33.299999999999997</v>
      </c>
    </row>
    <row r="16" spans="1:10" ht="15.75" customHeight="1" thickBot="1">
      <c r="A16" s="21">
        <v>4</v>
      </c>
      <c r="B16" s="22" t="s">
        <v>4</v>
      </c>
      <c r="C16" s="22" t="s">
        <v>31</v>
      </c>
      <c r="D16" s="22" t="s">
        <v>33</v>
      </c>
      <c r="E16" s="21">
        <v>80</v>
      </c>
      <c r="F16" s="21">
        <v>1</v>
      </c>
      <c r="G16" s="21">
        <v>0</v>
      </c>
      <c r="H16" s="21">
        <v>80</v>
      </c>
      <c r="I16" s="21">
        <v>0</v>
      </c>
      <c r="J16" s="21">
        <v>26.7</v>
      </c>
    </row>
    <row r="17" spans="1:10" ht="15.75" customHeight="1" thickBot="1">
      <c r="A17" s="21">
        <v>4</v>
      </c>
      <c r="B17" s="22" t="s">
        <v>5</v>
      </c>
      <c r="C17" s="22" t="s">
        <v>31</v>
      </c>
      <c r="D17" s="22" t="s">
        <v>32</v>
      </c>
      <c r="E17" s="21">
        <v>114</v>
      </c>
      <c r="F17" s="21">
        <v>1</v>
      </c>
      <c r="G17" s="21">
        <v>5</v>
      </c>
      <c r="H17" s="21">
        <v>45</v>
      </c>
      <c r="I17" s="21">
        <v>10</v>
      </c>
      <c r="J17" s="21">
        <v>20</v>
      </c>
    </row>
    <row r="18" spans="1:10" ht="15.75" customHeight="1" thickBot="1">
      <c r="A18" s="21">
        <v>5</v>
      </c>
      <c r="B18" s="22" t="s">
        <v>2</v>
      </c>
      <c r="C18" s="22" t="s">
        <v>30</v>
      </c>
      <c r="D18" s="22" t="s">
        <v>32</v>
      </c>
      <c r="E18" s="21">
        <v>170</v>
      </c>
      <c r="F18" s="21">
        <v>1</v>
      </c>
      <c r="G18" s="21">
        <v>40</v>
      </c>
      <c r="H18" s="21">
        <v>45</v>
      </c>
      <c r="I18" s="21">
        <v>45</v>
      </c>
      <c r="J18" s="21">
        <v>43.3</v>
      </c>
    </row>
    <row r="19" spans="1:10" ht="15.75" customHeight="1" thickBot="1">
      <c r="A19" s="21">
        <v>5</v>
      </c>
      <c r="B19" s="22" t="s">
        <v>3</v>
      </c>
      <c r="C19" s="22" t="s">
        <v>30</v>
      </c>
      <c r="D19" s="22" t="s">
        <v>33</v>
      </c>
      <c r="E19" s="21">
        <v>241</v>
      </c>
      <c r="F19" s="21">
        <v>0.6</v>
      </c>
      <c r="G19" s="21">
        <v>75</v>
      </c>
      <c r="H19" s="21">
        <v>40</v>
      </c>
      <c r="I19" s="21">
        <v>65</v>
      </c>
      <c r="J19" s="21">
        <v>60</v>
      </c>
    </row>
    <row r="20" spans="1:10" ht="15.75" customHeight="1" thickBot="1">
      <c r="A20" s="21">
        <v>5</v>
      </c>
      <c r="B20" s="22" t="s">
        <v>4</v>
      </c>
      <c r="C20" s="22" t="s">
        <v>31</v>
      </c>
      <c r="D20" s="22" t="s">
        <v>33</v>
      </c>
      <c r="E20" s="21">
        <v>174</v>
      </c>
      <c r="F20" s="21">
        <v>1</v>
      </c>
      <c r="G20" s="21">
        <v>80</v>
      </c>
      <c r="H20" s="21">
        <v>35</v>
      </c>
      <c r="I20" s="21">
        <v>65</v>
      </c>
      <c r="J20" s="21">
        <v>60</v>
      </c>
    </row>
    <row r="21" spans="1:10" ht="15.75" customHeight="1" thickBot="1">
      <c r="A21" s="21">
        <v>5</v>
      </c>
      <c r="B21" s="22" t="s">
        <v>5</v>
      </c>
      <c r="C21" s="22" t="s">
        <v>31</v>
      </c>
      <c r="D21" s="22" t="s">
        <v>32</v>
      </c>
      <c r="E21" s="21">
        <v>172</v>
      </c>
      <c r="F21" s="21">
        <v>0.83</v>
      </c>
      <c r="G21" s="21">
        <v>40</v>
      </c>
      <c r="H21" s="21">
        <v>60</v>
      </c>
      <c r="I21" s="21">
        <v>35</v>
      </c>
      <c r="J21" s="21">
        <v>45</v>
      </c>
    </row>
    <row r="22" spans="1:10" ht="15.75" customHeight="1" thickBot="1">
      <c r="A22" s="21">
        <v>6</v>
      </c>
      <c r="B22" s="22" t="s">
        <v>2</v>
      </c>
      <c r="C22" s="22" t="s">
        <v>30</v>
      </c>
      <c r="D22" s="22" t="s">
        <v>32</v>
      </c>
      <c r="E22" s="21">
        <v>63</v>
      </c>
      <c r="F22" s="21">
        <v>1</v>
      </c>
      <c r="G22" s="21">
        <v>15</v>
      </c>
      <c r="H22" s="21">
        <v>30</v>
      </c>
      <c r="I22" s="21">
        <v>75</v>
      </c>
      <c r="J22" s="21">
        <v>40</v>
      </c>
    </row>
    <row r="23" spans="1:10" ht="15.75" customHeight="1" thickBot="1">
      <c r="A23" s="21">
        <v>6</v>
      </c>
      <c r="B23" s="22" t="s">
        <v>3</v>
      </c>
      <c r="C23" s="22" t="s">
        <v>30</v>
      </c>
      <c r="D23" s="22" t="s">
        <v>33</v>
      </c>
      <c r="E23" s="21">
        <v>61</v>
      </c>
      <c r="F23" s="21">
        <v>0.83</v>
      </c>
      <c r="G23" s="21">
        <v>15</v>
      </c>
      <c r="H23" s="21">
        <v>75</v>
      </c>
      <c r="I23" s="21">
        <v>30</v>
      </c>
      <c r="J23" s="21">
        <v>40</v>
      </c>
    </row>
    <row r="24" spans="1:10" ht="15.75" customHeight="1" thickBot="1">
      <c r="A24" s="21">
        <v>6</v>
      </c>
      <c r="B24" s="22" t="s">
        <v>4</v>
      </c>
      <c r="C24" s="22" t="s">
        <v>31</v>
      </c>
      <c r="D24" s="22" t="s">
        <v>33</v>
      </c>
      <c r="E24" s="21">
        <v>45</v>
      </c>
      <c r="F24" s="21">
        <v>1</v>
      </c>
      <c r="G24" s="21">
        <v>30</v>
      </c>
      <c r="H24" s="21">
        <v>10</v>
      </c>
      <c r="I24" s="21">
        <v>65</v>
      </c>
      <c r="J24" s="21">
        <v>35</v>
      </c>
    </row>
    <row r="25" spans="1:10" ht="15.75" customHeight="1" thickBot="1">
      <c r="A25" s="21">
        <v>6</v>
      </c>
      <c r="B25" s="22" t="s">
        <v>5</v>
      </c>
      <c r="C25" s="22" t="s">
        <v>31</v>
      </c>
      <c r="D25" s="22" t="s">
        <v>32</v>
      </c>
      <c r="E25" s="21">
        <v>53</v>
      </c>
      <c r="F25" s="21">
        <v>1</v>
      </c>
      <c r="G25" s="21">
        <v>65</v>
      </c>
      <c r="H25" s="21">
        <v>35</v>
      </c>
      <c r="I25" s="21">
        <v>60</v>
      </c>
      <c r="J25" s="21">
        <v>53.3</v>
      </c>
    </row>
    <row r="26" spans="1:10" ht="15.75" customHeight="1" thickBot="1">
      <c r="A26" s="21">
        <v>7</v>
      </c>
      <c r="B26" s="22" t="s">
        <v>2</v>
      </c>
      <c r="C26" s="22" t="s">
        <v>30</v>
      </c>
      <c r="D26" s="22" t="s">
        <v>32</v>
      </c>
      <c r="E26" s="21">
        <v>122</v>
      </c>
      <c r="F26" s="21">
        <v>1</v>
      </c>
      <c r="G26" s="21">
        <v>55</v>
      </c>
      <c r="H26" s="21">
        <v>80</v>
      </c>
      <c r="I26" s="21">
        <v>45</v>
      </c>
      <c r="J26" s="21">
        <v>60</v>
      </c>
    </row>
    <row r="27" spans="1:10" ht="15.75" customHeight="1" thickBot="1">
      <c r="A27" s="21">
        <v>7</v>
      </c>
      <c r="B27" s="22" t="s">
        <v>3</v>
      </c>
      <c r="C27" s="22" t="s">
        <v>30</v>
      </c>
      <c r="D27" s="22" t="s">
        <v>33</v>
      </c>
      <c r="E27" s="21">
        <v>119</v>
      </c>
      <c r="F27" s="21">
        <v>1</v>
      </c>
      <c r="G27" s="21">
        <v>45</v>
      </c>
      <c r="H27" s="21">
        <v>35</v>
      </c>
      <c r="I27" s="21">
        <v>40</v>
      </c>
      <c r="J27" s="21">
        <v>40</v>
      </c>
    </row>
    <row r="28" spans="1:10" ht="15.75" customHeight="1" thickBot="1">
      <c r="A28" s="21">
        <v>7</v>
      </c>
      <c r="B28" s="22" t="s">
        <v>4</v>
      </c>
      <c r="C28" s="22" t="s">
        <v>31</v>
      </c>
      <c r="D28" s="22" t="s">
        <v>33</v>
      </c>
      <c r="E28" s="21">
        <v>177</v>
      </c>
      <c r="F28" s="21">
        <v>0.83</v>
      </c>
      <c r="G28" s="21">
        <v>65</v>
      </c>
      <c r="H28" s="21">
        <v>35</v>
      </c>
      <c r="I28" s="21">
        <v>45</v>
      </c>
      <c r="J28" s="21">
        <v>48.3</v>
      </c>
    </row>
    <row r="29" spans="1:10" ht="15.75" customHeight="1" thickBot="1">
      <c r="A29" s="21">
        <v>7</v>
      </c>
      <c r="B29" s="22" t="s">
        <v>5</v>
      </c>
      <c r="C29" s="22" t="s">
        <v>31</v>
      </c>
      <c r="D29" s="22" t="s">
        <v>32</v>
      </c>
      <c r="E29" s="21">
        <v>131</v>
      </c>
      <c r="F29" s="21">
        <v>1</v>
      </c>
      <c r="G29" s="21">
        <v>60</v>
      </c>
      <c r="H29" s="21">
        <v>45</v>
      </c>
      <c r="I29" s="21">
        <v>55</v>
      </c>
      <c r="J29" s="21">
        <v>53.3</v>
      </c>
    </row>
    <row r="30" spans="1:10" ht="15.75" customHeight="1" thickBot="1">
      <c r="A30" s="21">
        <v>8</v>
      </c>
      <c r="B30" s="22" t="s">
        <v>2</v>
      </c>
      <c r="C30" s="22" t="s">
        <v>30</v>
      </c>
      <c r="D30" s="22" t="s">
        <v>32</v>
      </c>
      <c r="E30" s="21">
        <v>70</v>
      </c>
      <c r="F30" s="21">
        <v>1</v>
      </c>
      <c r="G30" s="21">
        <v>30</v>
      </c>
      <c r="H30" s="21">
        <v>20</v>
      </c>
      <c r="I30" s="21">
        <v>60</v>
      </c>
      <c r="J30" s="21">
        <v>36.700000000000003</v>
      </c>
    </row>
    <row r="31" spans="1:10" ht="15.75" customHeight="1" thickBot="1">
      <c r="A31" s="21">
        <v>8</v>
      </c>
      <c r="B31" s="22" t="s">
        <v>3</v>
      </c>
      <c r="C31" s="22" t="s">
        <v>30</v>
      </c>
      <c r="D31" s="22" t="s">
        <v>33</v>
      </c>
      <c r="E31" s="21">
        <v>79</v>
      </c>
      <c r="F31" s="21">
        <v>1</v>
      </c>
      <c r="G31" s="21">
        <v>70</v>
      </c>
      <c r="H31" s="21">
        <v>20</v>
      </c>
      <c r="I31" s="21">
        <v>35</v>
      </c>
      <c r="J31" s="21">
        <v>41.7</v>
      </c>
    </row>
    <row r="32" spans="1:10" ht="15.75" customHeight="1" thickBot="1">
      <c r="A32" s="21">
        <v>8</v>
      </c>
      <c r="B32" s="22" t="s">
        <v>4</v>
      </c>
      <c r="C32" s="22" t="s">
        <v>31</v>
      </c>
      <c r="D32" s="22" t="s">
        <v>33</v>
      </c>
      <c r="E32" s="21">
        <v>56</v>
      </c>
      <c r="F32" s="21">
        <v>1</v>
      </c>
      <c r="G32" s="21">
        <v>70</v>
      </c>
      <c r="H32" s="21">
        <v>15</v>
      </c>
      <c r="I32" s="21">
        <v>80</v>
      </c>
      <c r="J32" s="21">
        <v>55</v>
      </c>
    </row>
    <row r="33" spans="1:10" ht="15.75" customHeight="1" thickBot="1">
      <c r="A33" s="21">
        <v>8</v>
      </c>
      <c r="B33" s="22" t="s">
        <v>5</v>
      </c>
      <c r="C33" s="22" t="s">
        <v>31</v>
      </c>
      <c r="D33" s="22" t="s">
        <v>32</v>
      </c>
      <c r="E33" s="21">
        <v>59</v>
      </c>
      <c r="F33" s="21">
        <v>1</v>
      </c>
      <c r="G33" s="21">
        <v>20</v>
      </c>
      <c r="H33" s="21">
        <v>15</v>
      </c>
      <c r="I33" s="21">
        <v>65</v>
      </c>
      <c r="J33" s="21">
        <v>33.299999999999997</v>
      </c>
    </row>
    <row r="34" spans="1:10" ht="15.75" customHeight="1" thickBot="1">
      <c r="A34" s="21">
        <v>9</v>
      </c>
      <c r="B34" s="22" t="s">
        <v>2</v>
      </c>
      <c r="C34" s="22" t="s">
        <v>30</v>
      </c>
      <c r="D34" s="22" t="s">
        <v>32</v>
      </c>
      <c r="E34" s="21">
        <v>79</v>
      </c>
      <c r="F34" s="21">
        <v>1</v>
      </c>
      <c r="G34" s="21">
        <v>40</v>
      </c>
      <c r="H34" s="21">
        <v>0</v>
      </c>
      <c r="I34" s="21">
        <v>25</v>
      </c>
      <c r="J34" s="21">
        <v>21.7</v>
      </c>
    </row>
    <row r="35" spans="1:10" ht="15.75" customHeight="1" thickBot="1">
      <c r="A35" s="21">
        <v>9</v>
      </c>
      <c r="B35" s="22" t="s">
        <v>3</v>
      </c>
      <c r="C35" s="22" t="s">
        <v>30</v>
      </c>
      <c r="D35" s="22" t="s">
        <v>33</v>
      </c>
      <c r="E35" s="21">
        <v>71</v>
      </c>
      <c r="F35" s="21">
        <v>0.83</v>
      </c>
      <c r="G35" s="21">
        <v>65</v>
      </c>
      <c r="H35" s="21">
        <v>35</v>
      </c>
      <c r="I35" s="21">
        <v>75</v>
      </c>
      <c r="J35" s="21">
        <v>58.3</v>
      </c>
    </row>
    <row r="36" spans="1:10" ht="15.75" customHeight="1" thickBot="1">
      <c r="A36" s="21">
        <v>9</v>
      </c>
      <c r="B36" s="22" t="s">
        <v>4</v>
      </c>
      <c r="C36" s="22" t="s">
        <v>31</v>
      </c>
      <c r="D36" s="22" t="s">
        <v>33</v>
      </c>
      <c r="E36" s="21">
        <v>72</v>
      </c>
      <c r="F36" s="21">
        <v>0.83</v>
      </c>
      <c r="G36" s="21">
        <v>25</v>
      </c>
      <c r="H36" s="21">
        <v>20</v>
      </c>
      <c r="I36" s="21">
        <v>25</v>
      </c>
      <c r="J36" s="21">
        <v>23.3</v>
      </c>
    </row>
    <row r="37" spans="1:10" ht="15.75" customHeight="1" thickBot="1">
      <c r="A37" s="21">
        <v>9</v>
      </c>
      <c r="B37" s="22" t="s">
        <v>5</v>
      </c>
      <c r="C37" s="22" t="s">
        <v>31</v>
      </c>
      <c r="D37" s="22" t="s">
        <v>32</v>
      </c>
      <c r="E37" s="21">
        <v>67</v>
      </c>
      <c r="F37" s="21">
        <v>0.83</v>
      </c>
      <c r="G37" s="21">
        <v>5</v>
      </c>
      <c r="H37" s="21">
        <v>15</v>
      </c>
      <c r="I37" s="21">
        <v>15</v>
      </c>
      <c r="J37" s="21">
        <v>11.7</v>
      </c>
    </row>
    <row r="38" spans="1:10" ht="15.75" customHeight="1" thickBot="1">
      <c r="A38" s="21">
        <v>10</v>
      </c>
      <c r="B38" s="22" t="s">
        <v>2</v>
      </c>
      <c r="C38" s="22" t="s">
        <v>30</v>
      </c>
      <c r="D38" s="22" t="s">
        <v>32</v>
      </c>
      <c r="E38" s="21">
        <v>110</v>
      </c>
      <c r="F38" s="21">
        <v>0.8</v>
      </c>
      <c r="G38" s="21">
        <v>30</v>
      </c>
      <c r="H38" s="21">
        <v>60</v>
      </c>
      <c r="I38" s="21">
        <v>55</v>
      </c>
      <c r="J38" s="21">
        <v>48.3</v>
      </c>
    </row>
    <row r="39" spans="1:10" ht="15.75" customHeight="1" thickBot="1">
      <c r="A39" s="21">
        <v>10</v>
      </c>
      <c r="B39" s="22" t="s">
        <v>3</v>
      </c>
      <c r="C39" s="22" t="s">
        <v>30</v>
      </c>
      <c r="D39" s="22" t="s">
        <v>33</v>
      </c>
      <c r="E39" s="21">
        <v>96</v>
      </c>
      <c r="F39" s="21">
        <v>1</v>
      </c>
      <c r="G39" s="21">
        <v>20</v>
      </c>
      <c r="H39" s="21">
        <v>65</v>
      </c>
      <c r="I39" s="21">
        <v>35</v>
      </c>
      <c r="J39" s="21">
        <v>40</v>
      </c>
    </row>
    <row r="40" spans="1:10" ht="15.75" customHeight="1" thickBot="1">
      <c r="A40" s="21">
        <v>10</v>
      </c>
      <c r="B40" s="22" t="s">
        <v>4</v>
      </c>
      <c r="C40" s="22" t="s">
        <v>31</v>
      </c>
      <c r="D40" s="22" t="s">
        <v>33</v>
      </c>
      <c r="E40" s="21">
        <v>92</v>
      </c>
      <c r="F40" s="21">
        <v>1</v>
      </c>
      <c r="G40" s="21">
        <v>15</v>
      </c>
      <c r="H40" s="21">
        <v>70</v>
      </c>
      <c r="I40" s="21">
        <v>20</v>
      </c>
      <c r="J40" s="21">
        <v>35</v>
      </c>
    </row>
    <row r="41" spans="1:10" ht="15.75" customHeight="1" thickBot="1">
      <c r="A41" s="21">
        <v>10</v>
      </c>
      <c r="B41" s="22" t="s">
        <v>5</v>
      </c>
      <c r="C41" s="22" t="s">
        <v>31</v>
      </c>
      <c r="D41" s="22" t="s">
        <v>32</v>
      </c>
      <c r="E41" s="21">
        <v>127</v>
      </c>
      <c r="F41" s="21">
        <v>1</v>
      </c>
      <c r="G41" s="21">
        <v>25</v>
      </c>
      <c r="H41" s="21">
        <v>60</v>
      </c>
      <c r="I41" s="21">
        <v>30</v>
      </c>
      <c r="J41" s="21">
        <v>38.299999999999997</v>
      </c>
    </row>
    <row r="42" spans="1:10" ht="15.75" customHeight="1" thickBot="1">
      <c r="A42" s="21">
        <v>11</v>
      </c>
      <c r="B42" s="22" t="s">
        <v>2</v>
      </c>
      <c r="C42" s="22" t="s">
        <v>30</v>
      </c>
      <c r="D42" s="22" t="s">
        <v>32</v>
      </c>
      <c r="E42" s="21">
        <v>90</v>
      </c>
      <c r="F42" s="21">
        <v>0.83</v>
      </c>
      <c r="G42" s="21">
        <v>55</v>
      </c>
      <c r="H42" s="21">
        <v>45</v>
      </c>
      <c r="I42" s="21">
        <v>70</v>
      </c>
      <c r="J42" s="21">
        <v>56.7</v>
      </c>
    </row>
    <row r="43" spans="1:10" ht="15.75" customHeight="1" thickBot="1">
      <c r="A43" s="21">
        <v>11</v>
      </c>
      <c r="B43" s="22" t="s">
        <v>3</v>
      </c>
      <c r="C43" s="22" t="s">
        <v>30</v>
      </c>
      <c r="D43" s="22" t="s">
        <v>33</v>
      </c>
      <c r="E43" s="21">
        <v>106</v>
      </c>
      <c r="F43" s="21">
        <v>0.83</v>
      </c>
      <c r="G43" s="21">
        <v>65</v>
      </c>
      <c r="H43" s="21">
        <v>35</v>
      </c>
      <c r="I43" s="21">
        <v>80</v>
      </c>
      <c r="J43" s="21">
        <v>60</v>
      </c>
    </row>
    <row r="44" spans="1:10" ht="15.75" customHeight="1" thickBot="1">
      <c r="A44" s="21">
        <v>11</v>
      </c>
      <c r="B44" s="22" t="s">
        <v>4</v>
      </c>
      <c r="C44" s="22" t="s">
        <v>31</v>
      </c>
      <c r="D44" s="22" t="s">
        <v>33</v>
      </c>
      <c r="E44" s="21">
        <v>90</v>
      </c>
      <c r="F44" s="21">
        <v>1</v>
      </c>
      <c r="G44" s="21">
        <v>80</v>
      </c>
      <c r="H44" s="21">
        <v>70</v>
      </c>
      <c r="I44" s="21">
        <v>85</v>
      </c>
      <c r="J44" s="21">
        <v>78.3</v>
      </c>
    </row>
    <row r="45" spans="1:10" ht="15.75" customHeight="1" thickBot="1">
      <c r="A45" s="21">
        <v>11</v>
      </c>
      <c r="B45" s="22" t="s">
        <v>5</v>
      </c>
      <c r="C45" s="22" t="s">
        <v>31</v>
      </c>
      <c r="D45" s="22" t="s">
        <v>32</v>
      </c>
      <c r="E45" s="21">
        <v>80</v>
      </c>
      <c r="F45" s="21">
        <v>1</v>
      </c>
      <c r="G45" s="21">
        <v>70</v>
      </c>
      <c r="H45" s="21">
        <v>65</v>
      </c>
      <c r="I45" s="21">
        <v>60</v>
      </c>
      <c r="J45" s="21">
        <v>65</v>
      </c>
    </row>
    <row r="46" spans="1:10" ht="15.75" customHeight="1" thickBot="1">
      <c r="A46" s="21">
        <v>12</v>
      </c>
      <c r="B46" s="22" t="s">
        <v>2</v>
      </c>
      <c r="C46" s="22" t="s">
        <v>30</v>
      </c>
      <c r="D46" s="22" t="s">
        <v>32</v>
      </c>
      <c r="E46" s="21">
        <v>62</v>
      </c>
      <c r="F46" s="21">
        <v>1</v>
      </c>
      <c r="G46" s="21">
        <v>45</v>
      </c>
      <c r="H46" s="21">
        <v>25</v>
      </c>
      <c r="I46" s="21">
        <v>85</v>
      </c>
      <c r="J46" s="21">
        <v>51.7</v>
      </c>
    </row>
    <row r="47" spans="1:10" ht="15.75" customHeight="1" thickBot="1">
      <c r="A47" s="21">
        <v>12</v>
      </c>
      <c r="B47" s="22" t="s">
        <v>3</v>
      </c>
      <c r="C47" s="22" t="s">
        <v>30</v>
      </c>
      <c r="D47" s="22" t="s">
        <v>33</v>
      </c>
      <c r="E47" s="21">
        <v>63</v>
      </c>
      <c r="F47" s="21">
        <v>0.67</v>
      </c>
      <c r="G47" s="21">
        <v>50</v>
      </c>
      <c r="H47" s="21">
        <v>60</v>
      </c>
      <c r="I47" s="21">
        <v>90</v>
      </c>
      <c r="J47" s="21">
        <v>66.7</v>
      </c>
    </row>
    <row r="48" spans="1:10" ht="15.75" customHeight="1" thickBot="1">
      <c r="A48" s="21">
        <v>12</v>
      </c>
      <c r="B48" s="22" t="s">
        <v>4</v>
      </c>
      <c r="C48" s="22" t="s">
        <v>31</v>
      </c>
      <c r="D48" s="22" t="s">
        <v>33</v>
      </c>
      <c r="E48" s="21">
        <v>92</v>
      </c>
      <c r="F48" s="21">
        <v>1</v>
      </c>
      <c r="G48" s="21">
        <v>40</v>
      </c>
      <c r="H48" s="21">
        <v>40</v>
      </c>
      <c r="I48" s="21">
        <v>35</v>
      </c>
      <c r="J48" s="21">
        <v>38.299999999999997</v>
      </c>
    </row>
    <row r="49" spans="1:10" ht="15.75" customHeight="1" thickBot="1">
      <c r="A49" s="21">
        <v>12</v>
      </c>
      <c r="B49" s="22" t="s">
        <v>5</v>
      </c>
      <c r="C49" s="22" t="s">
        <v>31</v>
      </c>
      <c r="D49" s="22" t="s">
        <v>32</v>
      </c>
      <c r="E49" s="21">
        <v>60</v>
      </c>
      <c r="F49" s="21">
        <v>1</v>
      </c>
      <c r="G49" s="21">
        <v>45</v>
      </c>
      <c r="H49" s="21">
        <v>30</v>
      </c>
      <c r="I49" s="21">
        <v>30</v>
      </c>
      <c r="J49" s="21">
        <v>35</v>
      </c>
    </row>
    <row r="50" spans="1:10" ht="15.75" customHeight="1" thickBot="1">
      <c r="A50" s="21">
        <v>13</v>
      </c>
      <c r="B50" s="22" t="s">
        <v>2</v>
      </c>
      <c r="C50" s="22" t="s">
        <v>30</v>
      </c>
      <c r="D50" s="22" t="s">
        <v>32</v>
      </c>
      <c r="E50" s="21">
        <v>94</v>
      </c>
      <c r="F50" s="21">
        <v>1</v>
      </c>
      <c r="G50" s="21">
        <v>25</v>
      </c>
      <c r="H50" s="21">
        <v>45</v>
      </c>
      <c r="I50" s="21">
        <v>50</v>
      </c>
      <c r="J50" s="21">
        <v>40</v>
      </c>
    </row>
    <row r="51" spans="1:10" ht="15.75" customHeight="1" thickBot="1">
      <c r="A51" s="21">
        <v>13</v>
      </c>
      <c r="B51" s="22" t="s">
        <v>3</v>
      </c>
      <c r="C51" s="22" t="s">
        <v>30</v>
      </c>
      <c r="D51" s="22" t="s">
        <v>33</v>
      </c>
      <c r="E51" s="21">
        <v>84</v>
      </c>
      <c r="F51" s="21">
        <v>0.8</v>
      </c>
      <c r="G51" s="21">
        <v>35</v>
      </c>
      <c r="H51" s="21">
        <v>40</v>
      </c>
      <c r="I51" s="21">
        <v>50</v>
      </c>
      <c r="J51" s="21">
        <v>41.7</v>
      </c>
    </row>
    <row r="52" spans="1:10" ht="15.75" customHeight="1" thickBot="1">
      <c r="A52" s="21">
        <v>13</v>
      </c>
      <c r="B52" s="22" t="s">
        <v>4</v>
      </c>
      <c r="C52" s="22" t="s">
        <v>31</v>
      </c>
      <c r="D52" s="22" t="s">
        <v>33</v>
      </c>
      <c r="E52" s="21">
        <v>82</v>
      </c>
      <c r="F52" s="21">
        <v>1</v>
      </c>
      <c r="G52" s="21">
        <v>50</v>
      </c>
      <c r="H52" s="21">
        <v>40</v>
      </c>
      <c r="I52" s="21">
        <v>35</v>
      </c>
      <c r="J52" s="21">
        <v>41.7</v>
      </c>
    </row>
    <row r="53" spans="1:10" ht="15.75" customHeight="1" thickBot="1">
      <c r="A53" s="21">
        <v>13</v>
      </c>
      <c r="B53" s="22" t="s">
        <v>5</v>
      </c>
      <c r="C53" s="22" t="s">
        <v>31</v>
      </c>
      <c r="D53" s="22" t="s">
        <v>32</v>
      </c>
      <c r="E53" s="21">
        <v>78</v>
      </c>
      <c r="F53" s="21">
        <v>0.83</v>
      </c>
      <c r="G53" s="21">
        <v>45</v>
      </c>
      <c r="H53" s="21">
        <v>45</v>
      </c>
      <c r="I53" s="21">
        <v>45</v>
      </c>
      <c r="J53" s="21">
        <v>45</v>
      </c>
    </row>
    <row r="54" spans="1:10" ht="15.75" customHeight="1" thickBot="1">
      <c r="A54" s="21">
        <v>14</v>
      </c>
      <c r="B54" s="22" t="s">
        <v>2</v>
      </c>
      <c r="C54" s="22" t="s">
        <v>30</v>
      </c>
      <c r="D54" s="22" t="s">
        <v>32</v>
      </c>
      <c r="E54" s="21">
        <v>48</v>
      </c>
      <c r="F54" s="21">
        <v>0.5</v>
      </c>
      <c r="G54" s="21">
        <v>90</v>
      </c>
      <c r="H54" s="21">
        <v>10</v>
      </c>
      <c r="I54" s="21">
        <v>85</v>
      </c>
      <c r="J54" s="21">
        <v>61.7</v>
      </c>
    </row>
    <row r="55" spans="1:10" ht="15.75" customHeight="1" thickBot="1">
      <c r="A55" s="21">
        <v>14</v>
      </c>
      <c r="B55" s="22" t="s">
        <v>3</v>
      </c>
      <c r="C55" s="22" t="s">
        <v>30</v>
      </c>
      <c r="D55" s="22" t="s">
        <v>33</v>
      </c>
      <c r="E55" s="21">
        <v>50</v>
      </c>
      <c r="F55" s="21">
        <v>0.8</v>
      </c>
      <c r="G55" s="21">
        <v>5</v>
      </c>
      <c r="H55" s="21">
        <v>90</v>
      </c>
      <c r="I55" s="21">
        <v>10</v>
      </c>
      <c r="J55" s="21">
        <v>35</v>
      </c>
    </row>
    <row r="56" spans="1:10" ht="15.75" customHeight="1" thickBot="1">
      <c r="A56" s="21">
        <v>14</v>
      </c>
      <c r="B56" s="22" t="s">
        <v>4</v>
      </c>
      <c r="C56" s="22" t="s">
        <v>31</v>
      </c>
      <c r="D56" s="22" t="s">
        <v>33</v>
      </c>
      <c r="E56" s="21">
        <v>47</v>
      </c>
      <c r="F56" s="21">
        <v>1</v>
      </c>
      <c r="G56" s="21">
        <v>5</v>
      </c>
      <c r="H56" s="21">
        <v>70</v>
      </c>
      <c r="I56" s="21">
        <v>15</v>
      </c>
      <c r="J56" s="21">
        <v>30</v>
      </c>
    </row>
    <row r="57" spans="1:10" ht="15.75" customHeight="1" thickBot="1">
      <c r="A57" s="21">
        <v>14</v>
      </c>
      <c r="B57" s="22" t="s">
        <v>5</v>
      </c>
      <c r="C57" s="22" t="s">
        <v>31</v>
      </c>
      <c r="D57" s="22" t="s">
        <v>32</v>
      </c>
      <c r="E57" s="21">
        <v>53</v>
      </c>
      <c r="F57" s="21">
        <v>0.67</v>
      </c>
      <c r="G57" s="21">
        <v>75</v>
      </c>
      <c r="H57" s="21">
        <v>65</v>
      </c>
      <c r="I57" s="21">
        <v>20</v>
      </c>
      <c r="J57" s="21">
        <v>53.3</v>
      </c>
    </row>
    <row r="58" spans="1:10" ht="15.75" customHeight="1" thickBot="1">
      <c r="A58" s="21">
        <v>15</v>
      </c>
      <c r="B58" s="22" t="s">
        <v>2</v>
      </c>
      <c r="C58" s="22" t="s">
        <v>30</v>
      </c>
      <c r="D58" s="22" t="s">
        <v>32</v>
      </c>
      <c r="E58" s="21">
        <v>67</v>
      </c>
      <c r="F58" s="21">
        <v>0.83</v>
      </c>
      <c r="G58" s="21">
        <v>65</v>
      </c>
      <c r="H58" s="21">
        <v>60</v>
      </c>
      <c r="I58" s="21">
        <v>40</v>
      </c>
      <c r="J58" s="21">
        <v>55</v>
      </c>
    </row>
    <row r="59" spans="1:10" ht="15.75" customHeight="1" thickBot="1">
      <c r="A59" s="21">
        <v>15</v>
      </c>
      <c r="B59" s="22" t="s">
        <v>3</v>
      </c>
      <c r="C59" s="22" t="s">
        <v>30</v>
      </c>
      <c r="D59" s="22" t="s">
        <v>33</v>
      </c>
      <c r="E59" s="21">
        <v>62</v>
      </c>
      <c r="F59" s="21">
        <v>1</v>
      </c>
      <c r="G59" s="21">
        <v>20</v>
      </c>
      <c r="H59" s="21">
        <v>40</v>
      </c>
      <c r="I59" s="21">
        <v>35</v>
      </c>
      <c r="J59" s="21">
        <v>31.7</v>
      </c>
    </row>
    <row r="60" spans="1:10" ht="15.75" customHeight="1" thickBot="1">
      <c r="A60" s="21">
        <v>15</v>
      </c>
      <c r="B60" s="22" t="s">
        <v>4</v>
      </c>
      <c r="C60" s="22" t="s">
        <v>31</v>
      </c>
      <c r="D60" s="22" t="s">
        <v>33</v>
      </c>
      <c r="E60" s="21">
        <v>55</v>
      </c>
      <c r="F60" s="21">
        <v>0.8</v>
      </c>
      <c r="G60" s="21">
        <v>65</v>
      </c>
      <c r="H60" s="21">
        <v>60</v>
      </c>
      <c r="I60" s="21">
        <v>35</v>
      </c>
      <c r="J60" s="21">
        <v>53.3</v>
      </c>
    </row>
    <row r="61" spans="1:10" ht="15.75" customHeight="1" thickBot="1">
      <c r="A61" s="21">
        <v>15</v>
      </c>
      <c r="B61" s="22" t="s">
        <v>5</v>
      </c>
      <c r="C61" s="22" t="s">
        <v>31</v>
      </c>
      <c r="D61" s="22" t="s">
        <v>32</v>
      </c>
      <c r="E61" s="21">
        <v>70</v>
      </c>
      <c r="F61" s="21">
        <v>0.83</v>
      </c>
      <c r="G61" s="21">
        <v>45</v>
      </c>
      <c r="H61" s="21">
        <v>70</v>
      </c>
      <c r="I61" s="21">
        <v>30</v>
      </c>
      <c r="J61" s="21">
        <v>48.3</v>
      </c>
    </row>
    <row r="62" spans="1:10" ht="15.75" customHeight="1" thickBot="1">
      <c r="A62" s="21">
        <v>16</v>
      </c>
      <c r="B62" s="22" t="s">
        <v>2</v>
      </c>
      <c r="C62" s="22" t="s">
        <v>30</v>
      </c>
      <c r="D62" s="22" t="s">
        <v>32</v>
      </c>
      <c r="E62" s="21">
        <v>104</v>
      </c>
      <c r="F62" s="21">
        <v>1</v>
      </c>
      <c r="G62" s="21">
        <v>100</v>
      </c>
      <c r="H62" s="21">
        <v>75</v>
      </c>
      <c r="I62" s="21">
        <v>75</v>
      </c>
      <c r="J62" s="21">
        <v>83.3</v>
      </c>
    </row>
    <row r="63" spans="1:10" ht="15.75" customHeight="1" thickBot="1">
      <c r="A63" s="21">
        <v>16</v>
      </c>
      <c r="B63" s="22" t="s">
        <v>3</v>
      </c>
      <c r="C63" s="22" t="s">
        <v>30</v>
      </c>
      <c r="D63" s="22" t="s">
        <v>33</v>
      </c>
      <c r="E63" s="21">
        <v>82</v>
      </c>
      <c r="F63" s="21">
        <v>1</v>
      </c>
      <c r="G63" s="21">
        <v>100</v>
      </c>
      <c r="H63" s="21">
        <v>20</v>
      </c>
      <c r="I63" s="21">
        <v>90</v>
      </c>
      <c r="J63" s="21">
        <v>70</v>
      </c>
    </row>
    <row r="64" spans="1:10" ht="15.75" customHeight="1" thickBot="1">
      <c r="A64" s="21">
        <v>16</v>
      </c>
      <c r="B64" s="22" t="s">
        <v>4</v>
      </c>
      <c r="C64" s="22" t="s">
        <v>31</v>
      </c>
      <c r="D64" s="22" t="s">
        <v>33</v>
      </c>
      <c r="E64" s="21">
        <v>109</v>
      </c>
      <c r="F64" s="21">
        <v>0.83</v>
      </c>
      <c r="G64" s="21">
        <v>100</v>
      </c>
      <c r="H64" s="21">
        <v>35</v>
      </c>
      <c r="I64" s="21">
        <v>85</v>
      </c>
      <c r="J64" s="21">
        <v>73.3</v>
      </c>
    </row>
    <row r="65" spans="1:10" ht="15.75" customHeight="1" thickBot="1">
      <c r="A65" s="21">
        <v>16</v>
      </c>
      <c r="B65" s="22" t="s">
        <v>5</v>
      </c>
      <c r="C65" s="22" t="s">
        <v>31</v>
      </c>
      <c r="D65" s="22" t="s">
        <v>32</v>
      </c>
      <c r="E65" s="21">
        <v>94</v>
      </c>
      <c r="F65" s="21">
        <v>1</v>
      </c>
      <c r="G65" s="21">
        <v>100</v>
      </c>
      <c r="H65" s="21">
        <v>85</v>
      </c>
      <c r="I65" s="21">
        <v>65</v>
      </c>
      <c r="J65" s="21">
        <v>83.3</v>
      </c>
    </row>
    <row r="66" spans="1:10" ht="15.75" customHeight="1" thickBot="1">
      <c r="A66" s="21">
        <v>17</v>
      </c>
      <c r="B66" s="22" t="s">
        <v>2</v>
      </c>
      <c r="C66" s="22" t="s">
        <v>30</v>
      </c>
      <c r="D66" s="22" t="s">
        <v>32</v>
      </c>
      <c r="E66" s="21">
        <v>80</v>
      </c>
      <c r="F66" s="21">
        <v>1</v>
      </c>
      <c r="G66" s="21">
        <v>20</v>
      </c>
      <c r="H66" s="21">
        <v>35</v>
      </c>
      <c r="I66" s="21">
        <v>65</v>
      </c>
      <c r="J66" s="21">
        <v>40</v>
      </c>
    </row>
    <row r="67" spans="1:10" ht="15.75" customHeight="1" thickBot="1">
      <c r="A67" s="21">
        <v>17</v>
      </c>
      <c r="B67" s="22" t="s">
        <v>3</v>
      </c>
      <c r="C67" s="22" t="s">
        <v>30</v>
      </c>
      <c r="D67" s="22" t="s">
        <v>33</v>
      </c>
      <c r="E67" s="21">
        <v>70</v>
      </c>
      <c r="F67" s="21">
        <v>1</v>
      </c>
      <c r="G67" s="21">
        <v>30</v>
      </c>
      <c r="H67" s="21">
        <v>45</v>
      </c>
      <c r="I67" s="21">
        <v>55</v>
      </c>
      <c r="J67" s="21">
        <v>43.3</v>
      </c>
    </row>
    <row r="68" spans="1:10" ht="15.75" customHeight="1" thickBot="1">
      <c r="A68" s="21">
        <v>17</v>
      </c>
      <c r="B68" s="22" t="s">
        <v>4</v>
      </c>
      <c r="C68" s="22" t="s">
        <v>31</v>
      </c>
      <c r="D68" s="22" t="s">
        <v>33</v>
      </c>
      <c r="E68" s="21">
        <v>62</v>
      </c>
      <c r="F68" s="21">
        <v>0.83</v>
      </c>
      <c r="G68" s="21">
        <v>25</v>
      </c>
      <c r="H68" s="21">
        <v>65</v>
      </c>
      <c r="I68" s="21">
        <v>35</v>
      </c>
      <c r="J68" s="21">
        <v>41.7</v>
      </c>
    </row>
    <row r="69" spans="1:10" ht="15.75" customHeight="1" thickBot="1">
      <c r="A69" s="21">
        <v>17</v>
      </c>
      <c r="B69" s="22" t="s">
        <v>5</v>
      </c>
      <c r="C69" s="22" t="s">
        <v>31</v>
      </c>
      <c r="D69" s="22" t="s">
        <v>32</v>
      </c>
      <c r="E69" s="21">
        <v>67</v>
      </c>
      <c r="F69" s="21">
        <v>0.83</v>
      </c>
      <c r="G69" s="21">
        <v>25</v>
      </c>
      <c r="H69" s="21">
        <v>65</v>
      </c>
      <c r="I69" s="21">
        <v>60</v>
      </c>
      <c r="J69" s="21">
        <v>50</v>
      </c>
    </row>
    <row r="70" spans="1:10" ht="15.75" customHeight="1" thickBot="1">
      <c r="A70" s="21">
        <v>18</v>
      </c>
      <c r="B70" s="22" t="s">
        <v>2</v>
      </c>
      <c r="C70" s="22" t="s">
        <v>30</v>
      </c>
      <c r="D70" s="22" t="s">
        <v>32</v>
      </c>
      <c r="E70" s="21">
        <v>67</v>
      </c>
      <c r="F70" s="21">
        <v>1</v>
      </c>
      <c r="G70" s="21">
        <v>65</v>
      </c>
      <c r="H70" s="21">
        <v>60</v>
      </c>
      <c r="I70" s="21">
        <v>60</v>
      </c>
      <c r="J70" s="21">
        <v>61.7</v>
      </c>
    </row>
    <row r="71" spans="1:10" ht="15.75" customHeight="1" thickBot="1">
      <c r="A71" s="21">
        <v>18</v>
      </c>
      <c r="B71" s="22" t="s">
        <v>3</v>
      </c>
      <c r="C71" s="22" t="s">
        <v>30</v>
      </c>
      <c r="D71" s="22" t="s">
        <v>33</v>
      </c>
      <c r="E71" s="21">
        <v>64</v>
      </c>
      <c r="F71" s="21">
        <v>1</v>
      </c>
      <c r="G71" s="21">
        <v>20</v>
      </c>
      <c r="H71" s="21">
        <v>40</v>
      </c>
      <c r="I71" s="21">
        <v>30</v>
      </c>
      <c r="J71" s="21">
        <v>30</v>
      </c>
    </row>
    <row r="72" spans="1:10" ht="15.75" customHeight="1" thickBot="1">
      <c r="A72" s="21">
        <v>18</v>
      </c>
      <c r="B72" s="22" t="s">
        <v>4</v>
      </c>
      <c r="C72" s="22" t="s">
        <v>31</v>
      </c>
      <c r="D72" s="22" t="s">
        <v>33</v>
      </c>
      <c r="E72" s="21">
        <v>54</v>
      </c>
      <c r="F72" s="21">
        <v>1</v>
      </c>
      <c r="G72" s="21">
        <v>35</v>
      </c>
      <c r="H72" s="21">
        <v>30</v>
      </c>
      <c r="I72" s="21">
        <v>40</v>
      </c>
      <c r="J72" s="21">
        <v>35</v>
      </c>
    </row>
    <row r="73" spans="1:10" ht="15.75" customHeight="1" thickBot="1">
      <c r="A73" s="21">
        <v>18</v>
      </c>
      <c r="B73" s="22" t="s">
        <v>5</v>
      </c>
      <c r="C73" s="22" t="s">
        <v>31</v>
      </c>
      <c r="D73" s="22" t="s">
        <v>32</v>
      </c>
      <c r="E73" s="21">
        <v>58</v>
      </c>
      <c r="F73" s="21">
        <v>1</v>
      </c>
      <c r="G73" s="21">
        <v>60</v>
      </c>
      <c r="H73" s="21">
        <v>45</v>
      </c>
      <c r="I73" s="21">
        <v>40</v>
      </c>
      <c r="J73" s="21">
        <v>48.3</v>
      </c>
    </row>
    <row r="74" spans="1:10" ht="15.75" customHeight="1" thickBot="1">
      <c r="A74" s="21">
        <v>19</v>
      </c>
      <c r="B74" s="22" t="s">
        <v>2</v>
      </c>
      <c r="C74" s="22" t="s">
        <v>30</v>
      </c>
      <c r="D74" s="22" t="s">
        <v>32</v>
      </c>
      <c r="E74" s="21">
        <v>77</v>
      </c>
      <c r="F74" s="21">
        <v>1</v>
      </c>
      <c r="G74" s="21">
        <v>0</v>
      </c>
      <c r="H74" s="21">
        <v>30</v>
      </c>
      <c r="I74" s="21">
        <v>30</v>
      </c>
      <c r="J74" s="21">
        <v>20</v>
      </c>
    </row>
    <row r="75" spans="1:10" ht="15.75" customHeight="1" thickBot="1">
      <c r="A75" s="21">
        <v>19</v>
      </c>
      <c r="B75" s="22" t="s">
        <v>3</v>
      </c>
      <c r="C75" s="22" t="s">
        <v>30</v>
      </c>
      <c r="D75" s="22" t="s">
        <v>33</v>
      </c>
      <c r="E75" s="21">
        <v>75</v>
      </c>
      <c r="F75" s="21">
        <v>0.8</v>
      </c>
      <c r="G75" s="21">
        <v>0</v>
      </c>
      <c r="H75" s="21">
        <v>30</v>
      </c>
      <c r="I75" s="21">
        <v>25</v>
      </c>
      <c r="J75" s="21">
        <v>18.3</v>
      </c>
    </row>
    <row r="76" spans="1:10" ht="15.75" customHeight="1" thickBot="1">
      <c r="A76" s="21">
        <v>19</v>
      </c>
      <c r="B76" s="22" t="s">
        <v>4</v>
      </c>
      <c r="C76" s="22" t="s">
        <v>31</v>
      </c>
      <c r="D76" s="22" t="s">
        <v>33</v>
      </c>
      <c r="E76" s="21">
        <v>70</v>
      </c>
      <c r="F76" s="21">
        <v>0.67</v>
      </c>
      <c r="G76" s="21">
        <v>15</v>
      </c>
      <c r="H76" s="21">
        <v>40</v>
      </c>
      <c r="I76" s="21">
        <v>30</v>
      </c>
      <c r="J76" s="21">
        <v>28.3</v>
      </c>
    </row>
    <row r="77" spans="1:10" ht="15.75" customHeight="1" thickBot="1">
      <c r="A77" s="21">
        <v>19</v>
      </c>
      <c r="B77" s="22" t="s">
        <v>5</v>
      </c>
      <c r="C77" s="22" t="s">
        <v>31</v>
      </c>
      <c r="D77" s="22" t="s">
        <v>32</v>
      </c>
      <c r="E77" s="21">
        <v>83</v>
      </c>
      <c r="F77" s="21">
        <v>1</v>
      </c>
      <c r="G77" s="21">
        <v>0</v>
      </c>
      <c r="H77" s="21">
        <v>30</v>
      </c>
      <c r="I77" s="21">
        <v>20</v>
      </c>
      <c r="J77" s="21">
        <v>16.7</v>
      </c>
    </row>
    <row r="78" spans="1:10" ht="15.75" customHeight="1" thickBot="1">
      <c r="A78" s="21">
        <v>20</v>
      </c>
      <c r="B78" s="22" t="s">
        <v>2</v>
      </c>
      <c r="C78" s="22" t="s">
        <v>30</v>
      </c>
      <c r="D78" s="22" t="s">
        <v>32</v>
      </c>
      <c r="E78" s="21">
        <v>97</v>
      </c>
      <c r="F78" s="21">
        <v>1</v>
      </c>
      <c r="G78" s="21">
        <v>25</v>
      </c>
      <c r="H78" s="21">
        <v>30</v>
      </c>
      <c r="I78" s="21">
        <v>50</v>
      </c>
      <c r="J78" s="21">
        <v>35</v>
      </c>
    </row>
    <row r="79" spans="1:10" ht="15.75" customHeight="1" thickBot="1">
      <c r="A79" s="21">
        <v>20</v>
      </c>
      <c r="B79" s="22" t="s">
        <v>3</v>
      </c>
      <c r="C79" s="22" t="s">
        <v>30</v>
      </c>
      <c r="D79" s="22" t="s">
        <v>33</v>
      </c>
      <c r="E79" s="21">
        <v>91</v>
      </c>
      <c r="F79" s="21">
        <v>1</v>
      </c>
      <c r="G79" s="21">
        <v>10</v>
      </c>
      <c r="H79" s="21">
        <v>25</v>
      </c>
      <c r="I79" s="21">
        <v>30</v>
      </c>
      <c r="J79" s="21">
        <v>21.7</v>
      </c>
    </row>
    <row r="80" spans="1:10" ht="15.75" customHeight="1" thickBot="1">
      <c r="A80" s="21">
        <v>20</v>
      </c>
      <c r="B80" s="22" t="s">
        <v>4</v>
      </c>
      <c r="C80" s="22" t="s">
        <v>31</v>
      </c>
      <c r="D80" s="22" t="s">
        <v>33</v>
      </c>
      <c r="E80" s="21">
        <v>82</v>
      </c>
      <c r="F80" s="21">
        <v>0.5</v>
      </c>
      <c r="G80" s="21">
        <v>80</v>
      </c>
      <c r="H80" s="21">
        <v>40</v>
      </c>
      <c r="I80" s="21">
        <v>35</v>
      </c>
      <c r="J80" s="21">
        <v>51.7</v>
      </c>
    </row>
    <row r="81" spans="1:10" ht="15.75" customHeight="1" thickBot="1">
      <c r="A81" s="21">
        <v>20</v>
      </c>
      <c r="B81" s="22" t="s">
        <v>5</v>
      </c>
      <c r="C81" s="22" t="s">
        <v>31</v>
      </c>
      <c r="D81" s="22" t="s">
        <v>32</v>
      </c>
      <c r="E81" s="21">
        <v>108</v>
      </c>
      <c r="F81" s="21">
        <v>0.83</v>
      </c>
      <c r="G81" s="21">
        <v>60</v>
      </c>
      <c r="H81" s="21">
        <v>50</v>
      </c>
      <c r="I81" s="21">
        <v>30</v>
      </c>
      <c r="J81" s="21">
        <v>46.7</v>
      </c>
    </row>
    <row r="82" spans="1:10" ht="15.75" customHeight="1" thickBot="1">
      <c r="A82" s="21">
        <v>21</v>
      </c>
      <c r="B82" s="22" t="s">
        <v>2</v>
      </c>
      <c r="C82" s="22" t="s">
        <v>30</v>
      </c>
      <c r="D82" s="22" t="s">
        <v>32</v>
      </c>
      <c r="E82" s="21">
        <v>47</v>
      </c>
      <c r="F82" s="21">
        <v>0.8</v>
      </c>
      <c r="G82" s="21">
        <v>20</v>
      </c>
      <c r="H82" s="21">
        <v>60</v>
      </c>
      <c r="I82" s="21">
        <v>70</v>
      </c>
      <c r="J82" s="21">
        <v>50</v>
      </c>
    </row>
    <row r="83" spans="1:10" ht="15.75" customHeight="1" thickBot="1">
      <c r="A83" s="21">
        <v>21</v>
      </c>
      <c r="B83" s="22" t="s">
        <v>3</v>
      </c>
      <c r="C83" s="22" t="s">
        <v>30</v>
      </c>
      <c r="D83" s="22" t="s">
        <v>33</v>
      </c>
      <c r="E83" s="21">
        <v>54</v>
      </c>
      <c r="F83" s="21">
        <v>0.8</v>
      </c>
      <c r="G83" s="21">
        <v>20</v>
      </c>
      <c r="H83" s="21">
        <v>40</v>
      </c>
      <c r="I83" s="21">
        <v>70</v>
      </c>
      <c r="J83" s="21">
        <v>43.3</v>
      </c>
    </row>
    <row r="84" spans="1:10" ht="15.75" customHeight="1" thickBot="1">
      <c r="A84" s="21">
        <v>21</v>
      </c>
      <c r="B84" s="22" t="s">
        <v>4</v>
      </c>
      <c r="C84" s="22" t="s">
        <v>31</v>
      </c>
      <c r="D84" s="22" t="s">
        <v>33</v>
      </c>
      <c r="E84" s="21">
        <v>37</v>
      </c>
      <c r="F84" s="21">
        <v>0.83</v>
      </c>
      <c r="G84" s="21">
        <v>10</v>
      </c>
      <c r="H84" s="21">
        <v>80</v>
      </c>
      <c r="I84" s="21">
        <v>40</v>
      </c>
      <c r="J84" s="21">
        <v>43.3</v>
      </c>
    </row>
    <row r="85" spans="1:10" ht="15.75" customHeight="1" thickBot="1">
      <c r="A85" s="21">
        <v>21</v>
      </c>
      <c r="B85" s="22" t="s">
        <v>5</v>
      </c>
      <c r="C85" s="22" t="s">
        <v>31</v>
      </c>
      <c r="D85" s="22" t="s">
        <v>32</v>
      </c>
      <c r="E85" s="21">
        <v>44</v>
      </c>
      <c r="F85" s="21">
        <v>0.83</v>
      </c>
      <c r="G85" s="21">
        <v>30</v>
      </c>
      <c r="H85" s="21">
        <v>60</v>
      </c>
      <c r="I85" s="21">
        <v>30</v>
      </c>
      <c r="J85" s="21">
        <v>40</v>
      </c>
    </row>
    <row r="86" spans="1:10" ht="15.75" customHeight="1" thickBot="1">
      <c r="A86" s="21">
        <v>22</v>
      </c>
      <c r="B86" s="22" t="s">
        <v>2</v>
      </c>
      <c r="C86" s="22" t="s">
        <v>30</v>
      </c>
      <c r="D86" s="22" t="s">
        <v>32</v>
      </c>
      <c r="E86" s="21">
        <v>75</v>
      </c>
      <c r="F86" s="21">
        <v>1</v>
      </c>
      <c r="G86" s="21">
        <v>5</v>
      </c>
      <c r="H86" s="21">
        <v>20</v>
      </c>
      <c r="I86" s="21">
        <v>80</v>
      </c>
      <c r="J86" s="21">
        <v>35</v>
      </c>
    </row>
    <row r="87" spans="1:10" ht="15.75" customHeight="1" thickBot="1">
      <c r="A87" s="21">
        <v>22</v>
      </c>
      <c r="B87" s="22" t="s">
        <v>3</v>
      </c>
      <c r="C87" s="22" t="s">
        <v>30</v>
      </c>
      <c r="D87" s="22" t="s">
        <v>33</v>
      </c>
      <c r="E87" s="21">
        <v>60</v>
      </c>
      <c r="F87" s="21">
        <v>0.83</v>
      </c>
      <c r="G87" s="21">
        <v>15</v>
      </c>
      <c r="H87" s="21">
        <v>25</v>
      </c>
      <c r="I87" s="21">
        <v>75</v>
      </c>
      <c r="J87" s="21">
        <v>38.299999999999997</v>
      </c>
    </row>
    <row r="88" spans="1:10" ht="15.75" customHeight="1" thickBot="1">
      <c r="A88" s="21">
        <v>22</v>
      </c>
      <c r="B88" s="22" t="s">
        <v>4</v>
      </c>
      <c r="C88" s="22" t="s">
        <v>31</v>
      </c>
      <c r="D88" s="22" t="s">
        <v>33</v>
      </c>
      <c r="E88" s="21">
        <v>75</v>
      </c>
      <c r="F88" s="21">
        <v>0.67</v>
      </c>
      <c r="G88" s="21">
        <v>50</v>
      </c>
      <c r="H88" s="21">
        <v>40</v>
      </c>
      <c r="I88" s="21">
        <v>70</v>
      </c>
      <c r="J88" s="21">
        <v>53.3</v>
      </c>
    </row>
    <row r="89" spans="1:10" ht="15.75" customHeight="1" thickBot="1">
      <c r="A89" s="21">
        <v>22</v>
      </c>
      <c r="B89" s="22" t="s">
        <v>5</v>
      </c>
      <c r="C89" s="22" t="s">
        <v>31</v>
      </c>
      <c r="D89" s="22" t="s">
        <v>32</v>
      </c>
      <c r="E89" s="21">
        <v>67</v>
      </c>
      <c r="F89" s="21">
        <v>1</v>
      </c>
      <c r="G89" s="21">
        <v>0</v>
      </c>
      <c r="H89" s="21">
        <v>20</v>
      </c>
      <c r="I89" s="21">
        <v>75</v>
      </c>
      <c r="J89" s="21">
        <v>31.7</v>
      </c>
    </row>
    <row r="90" spans="1:10" ht="15.75" customHeight="1" thickBot="1">
      <c r="A90" s="21">
        <v>23</v>
      </c>
      <c r="B90" s="22" t="s">
        <v>2</v>
      </c>
      <c r="C90" s="22" t="s">
        <v>30</v>
      </c>
      <c r="D90" s="22" t="s">
        <v>32</v>
      </c>
      <c r="E90" s="21">
        <v>50</v>
      </c>
      <c r="F90" s="21">
        <v>0.83</v>
      </c>
      <c r="G90" s="21">
        <v>40</v>
      </c>
      <c r="H90" s="21">
        <v>40</v>
      </c>
      <c r="I90" s="21">
        <v>40</v>
      </c>
      <c r="J90" s="21">
        <v>40</v>
      </c>
    </row>
    <row r="91" spans="1:10" ht="15.75" customHeight="1" thickBot="1">
      <c r="A91" s="21">
        <v>23</v>
      </c>
      <c r="B91" s="22" t="s">
        <v>3</v>
      </c>
      <c r="C91" s="22" t="s">
        <v>30</v>
      </c>
      <c r="D91" s="22" t="s">
        <v>33</v>
      </c>
      <c r="E91" s="21">
        <v>36</v>
      </c>
      <c r="F91" s="21">
        <v>0.8</v>
      </c>
      <c r="G91" s="21">
        <v>35</v>
      </c>
      <c r="H91" s="21">
        <v>70</v>
      </c>
      <c r="I91" s="21">
        <v>35</v>
      </c>
      <c r="J91" s="21">
        <v>46.7</v>
      </c>
    </row>
    <row r="92" spans="1:10" ht="15.75" customHeight="1" thickBot="1">
      <c r="A92" s="21">
        <v>23</v>
      </c>
      <c r="B92" s="22" t="s">
        <v>4</v>
      </c>
      <c r="C92" s="22" t="s">
        <v>31</v>
      </c>
      <c r="D92" s="22" t="s">
        <v>33</v>
      </c>
      <c r="E92" s="21">
        <v>37</v>
      </c>
      <c r="F92" s="21">
        <v>0.67</v>
      </c>
      <c r="G92" s="21">
        <v>5</v>
      </c>
      <c r="H92" s="21">
        <v>30</v>
      </c>
      <c r="I92" s="21">
        <v>20</v>
      </c>
      <c r="J92" s="21">
        <v>18.3</v>
      </c>
    </row>
    <row r="93" spans="1:10" ht="15.75" customHeight="1" thickBot="1">
      <c r="A93" s="21">
        <v>23</v>
      </c>
      <c r="B93" s="22" t="s">
        <v>5</v>
      </c>
      <c r="C93" s="22" t="s">
        <v>31</v>
      </c>
      <c r="D93" s="22" t="s">
        <v>32</v>
      </c>
      <c r="E93" s="21">
        <v>33</v>
      </c>
      <c r="F93" s="21">
        <v>0.83</v>
      </c>
      <c r="G93" s="21">
        <v>0</v>
      </c>
      <c r="H93" s="21">
        <v>5</v>
      </c>
      <c r="I93" s="21">
        <v>15</v>
      </c>
      <c r="J93" s="21">
        <v>6.7</v>
      </c>
    </row>
    <row r="94" spans="1:10" ht="15.75" customHeight="1" thickBot="1">
      <c r="A94" s="21">
        <v>24</v>
      </c>
      <c r="B94" s="22" t="s">
        <v>2</v>
      </c>
      <c r="C94" s="22" t="s">
        <v>30</v>
      </c>
      <c r="D94" s="22" t="s">
        <v>32</v>
      </c>
      <c r="E94" s="21">
        <v>76</v>
      </c>
      <c r="F94" s="21">
        <v>1</v>
      </c>
      <c r="G94" s="21">
        <v>60</v>
      </c>
      <c r="H94" s="21">
        <v>15</v>
      </c>
      <c r="I94" s="21">
        <v>60</v>
      </c>
      <c r="J94" s="21">
        <v>45</v>
      </c>
    </row>
    <row r="95" spans="1:10" ht="15.75" customHeight="1" thickBot="1">
      <c r="A95" s="21">
        <v>24</v>
      </c>
      <c r="B95" s="22" t="s">
        <v>3</v>
      </c>
      <c r="C95" s="22" t="s">
        <v>30</v>
      </c>
      <c r="D95" s="22" t="s">
        <v>33</v>
      </c>
      <c r="E95" s="21">
        <v>79</v>
      </c>
      <c r="F95" s="21">
        <v>1</v>
      </c>
      <c r="G95" s="21">
        <v>40</v>
      </c>
      <c r="H95" s="21">
        <v>15</v>
      </c>
      <c r="I95" s="21">
        <v>50</v>
      </c>
      <c r="J95" s="21">
        <v>35</v>
      </c>
    </row>
    <row r="96" spans="1:10" ht="15.75" customHeight="1" thickBot="1">
      <c r="A96" s="21">
        <v>24</v>
      </c>
      <c r="B96" s="22" t="s">
        <v>4</v>
      </c>
      <c r="C96" s="22" t="s">
        <v>31</v>
      </c>
      <c r="D96" s="22" t="s">
        <v>33</v>
      </c>
      <c r="E96" s="21">
        <v>57</v>
      </c>
      <c r="F96" s="21">
        <v>0.83</v>
      </c>
      <c r="G96" s="21">
        <v>50</v>
      </c>
      <c r="H96" s="21">
        <v>25</v>
      </c>
      <c r="I96" s="21">
        <v>75</v>
      </c>
      <c r="J96" s="21">
        <v>50</v>
      </c>
    </row>
    <row r="97" spans="1:10" ht="15.75" customHeight="1" thickBot="1">
      <c r="A97" s="21">
        <v>24</v>
      </c>
      <c r="B97" s="22" t="s">
        <v>5</v>
      </c>
      <c r="C97" s="22" t="s">
        <v>31</v>
      </c>
      <c r="D97" s="22" t="s">
        <v>32</v>
      </c>
      <c r="E97" s="21">
        <v>55</v>
      </c>
      <c r="F97" s="21">
        <v>1</v>
      </c>
      <c r="G97" s="21">
        <v>30</v>
      </c>
      <c r="H97" s="21">
        <v>10</v>
      </c>
      <c r="I97" s="21">
        <v>40</v>
      </c>
      <c r="J97" s="21">
        <v>26.7</v>
      </c>
    </row>
    <row r="98" spans="1:10" ht="15.75" customHeight="1" thickBot="1">
      <c r="A98" s="21">
        <v>25</v>
      </c>
      <c r="B98" s="22" t="s">
        <v>2</v>
      </c>
      <c r="C98" s="22" t="s">
        <v>30</v>
      </c>
      <c r="D98" s="22" t="s">
        <v>32</v>
      </c>
      <c r="E98" s="21">
        <v>97</v>
      </c>
      <c r="F98" s="21">
        <v>0.83</v>
      </c>
      <c r="G98" s="21">
        <v>60</v>
      </c>
      <c r="H98" s="21">
        <v>25</v>
      </c>
      <c r="I98" s="21">
        <v>65</v>
      </c>
      <c r="J98" s="21">
        <v>50</v>
      </c>
    </row>
    <row r="99" spans="1:10" ht="15.75" customHeight="1" thickBot="1">
      <c r="A99" s="21">
        <v>25</v>
      </c>
      <c r="B99" s="22" t="s">
        <v>3</v>
      </c>
      <c r="C99" s="22" t="s">
        <v>30</v>
      </c>
      <c r="D99" s="22" t="s">
        <v>33</v>
      </c>
      <c r="E99" s="21">
        <v>84</v>
      </c>
      <c r="F99" s="21">
        <v>0.83</v>
      </c>
      <c r="G99" s="21">
        <v>45</v>
      </c>
      <c r="H99" s="21">
        <v>30</v>
      </c>
      <c r="I99" s="21">
        <v>70</v>
      </c>
      <c r="J99" s="21">
        <v>48.3</v>
      </c>
    </row>
    <row r="100" spans="1:10" ht="15.75" customHeight="1" thickBot="1">
      <c r="A100" s="21">
        <v>25</v>
      </c>
      <c r="B100" s="22" t="s">
        <v>4</v>
      </c>
      <c r="C100" s="22" t="s">
        <v>31</v>
      </c>
      <c r="D100" s="22" t="s">
        <v>33</v>
      </c>
      <c r="E100" s="21">
        <v>94</v>
      </c>
      <c r="F100" s="21">
        <v>0.8</v>
      </c>
      <c r="G100" s="21">
        <v>50</v>
      </c>
      <c r="H100" s="21">
        <v>25</v>
      </c>
      <c r="I100" s="21">
        <v>60</v>
      </c>
      <c r="J100" s="21">
        <v>45</v>
      </c>
    </row>
    <row r="101" spans="1:10" ht="15.75" customHeight="1" thickBot="1">
      <c r="A101" s="21">
        <v>25</v>
      </c>
      <c r="B101" s="22" t="s">
        <v>5</v>
      </c>
      <c r="C101" s="22" t="s">
        <v>31</v>
      </c>
      <c r="D101" s="22" t="s">
        <v>32</v>
      </c>
      <c r="E101" s="21">
        <v>109</v>
      </c>
      <c r="F101" s="21">
        <v>0.83</v>
      </c>
      <c r="G101" s="21">
        <v>50</v>
      </c>
      <c r="H101" s="21">
        <v>35</v>
      </c>
      <c r="I101" s="21">
        <v>70</v>
      </c>
      <c r="J101" s="21">
        <v>51.7</v>
      </c>
    </row>
    <row r="102" spans="1:10" ht="15.75" customHeight="1" thickBot="1">
      <c r="A102" s="21">
        <v>26</v>
      </c>
      <c r="B102" s="22" t="s">
        <v>2</v>
      </c>
      <c r="C102" s="22" t="s">
        <v>30</v>
      </c>
      <c r="D102" s="22" t="s">
        <v>32</v>
      </c>
      <c r="E102" s="21">
        <v>85</v>
      </c>
      <c r="F102" s="21">
        <v>1</v>
      </c>
      <c r="G102" s="21">
        <v>65</v>
      </c>
      <c r="H102" s="21">
        <v>30</v>
      </c>
      <c r="I102" s="21">
        <v>65</v>
      </c>
      <c r="J102" s="21">
        <v>53.3</v>
      </c>
    </row>
    <row r="103" spans="1:10" ht="15.75" customHeight="1" thickBot="1">
      <c r="A103" s="21">
        <v>26</v>
      </c>
      <c r="B103" s="22" t="s">
        <v>3</v>
      </c>
      <c r="C103" s="22" t="s">
        <v>30</v>
      </c>
      <c r="D103" s="22" t="s">
        <v>33</v>
      </c>
      <c r="E103" s="21">
        <v>72</v>
      </c>
      <c r="F103" s="21">
        <v>1</v>
      </c>
      <c r="G103" s="21">
        <v>50</v>
      </c>
      <c r="H103" s="21">
        <v>15</v>
      </c>
      <c r="I103" s="21">
        <v>55</v>
      </c>
      <c r="J103" s="21">
        <v>40</v>
      </c>
    </row>
    <row r="104" spans="1:10" ht="15.75" customHeight="1" thickBot="1">
      <c r="A104" s="21">
        <v>26</v>
      </c>
      <c r="B104" s="22" t="s">
        <v>4</v>
      </c>
      <c r="C104" s="22" t="s">
        <v>31</v>
      </c>
      <c r="D104" s="22" t="s">
        <v>33</v>
      </c>
      <c r="E104" s="21">
        <v>91</v>
      </c>
      <c r="F104" s="21">
        <v>1</v>
      </c>
      <c r="G104" s="21">
        <v>55</v>
      </c>
      <c r="H104" s="21">
        <v>35</v>
      </c>
      <c r="I104" s="21">
        <v>65</v>
      </c>
      <c r="J104" s="21">
        <v>51.7</v>
      </c>
    </row>
    <row r="105" spans="1:10" ht="15.75" customHeight="1" thickBot="1">
      <c r="A105" s="21">
        <v>26</v>
      </c>
      <c r="B105" s="22" t="s">
        <v>5</v>
      </c>
      <c r="C105" s="22" t="s">
        <v>31</v>
      </c>
      <c r="D105" s="22" t="s">
        <v>32</v>
      </c>
      <c r="E105" s="21">
        <v>107</v>
      </c>
      <c r="F105" s="21">
        <v>0.8</v>
      </c>
      <c r="G105" s="21">
        <v>50</v>
      </c>
      <c r="H105" s="21">
        <v>40</v>
      </c>
      <c r="I105" s="21">
        <v>60</v>
      </c>
      <c r="J105" s="21">
        <v>50</v>
      </c>
    </row>
    <row r="106" spans="1:10" ht="15.75" customHeight="1" thickBot="1">
      <c r="A106" s="21">
        <v>27</v>
      </c>
      <c r="B106" s="22" t="s">
        <v>2</v>
      </c>
      <c r="C106" s="22" t="s">
        <v>30</v>
      </c>
      <c r="D106" s="22" t="s">
        <v>32</v>
      </c>
      <c r="E106" s="21">
        <v>76</v>
      </c>
      <c r="F106" s="21">
        <v>1</v>
      </c>
      <c r="G106" s="21">
        <v>30</v>
      </c>
      <c r="H106" s="21">
        <v>20</v>
      </c>
      <c r="I106" s="21">
        <v>55</v>
      </c>
      <c r="J106" s="21">
        <v>35</v>
      </c>
    </row>
    <row r="107" spans="1:10" ht="15.75" customHeight="1" thickBot="1">
      <c r="A107" s="21">
        <v>27</v>
      </c>
      <c r="B107" s="22" t="s">
        <v>3</v>
      </c>
      <c r="C107" s="22" t="s">
        <v>30</v>
      </c>
      <c r="D107" s="22" t="s">
        <v>33</v>
      </c>
      <c r="E107" s="21">
        <v>87</v>
      </c>
      <c r="F107" s="21">
        <v>1</v>
      </c>
      <c r="G107" s="21">
        <v>35</v>
      </c>
      <c r="H107" s="21">
        <v>30</v>
      </c>
      <c r="I107" s="21">
        <v>60</v>
      </c>
      <c r="J107" s="21">
        <v>41.7</v>
      </c>
    </row>
    <row r="108" spans="1:10" ht="15.75" customHeight="1" thickBot="1">
      <c r="A108" s="21">
        <v>27</v>
      </c>
      <c r="B108" s="22" t="s">
        <v>4</v>
      </c>
      <c r="C108" s="22" t="s">
        <v>31</v>
      </c>
      <c r="D108" s="22" t="s">
        <v>33</v>
      </c>
      <c r="E108" s="21">
        <v>73</v>
      </c>
      <c r="F108" s="21">
        <v>0.83</v>
      </c>
      <c r="G108" s="21">
        <v>35</v>
      </c>
      <c r="H108" s="21">
        <v>30</v>
      </c>
      <c r="I108" s="21">
        <v>45</v>
      </c>
      <c r="J108" s="21">
        <v>36.700000000000003</v>
      </c>
    </row>
    <row r="109" spans="1:10" ht="15.75" customHeight="1" thickBot="1">
      <c r="A109" s="21">
        <v>27</v>
      </c>
      <c r="B109" s="22" t="s">
        <v>5</v>
      </c>
      <c r="C109" s="22" t="s">
        <v>31</v>
      </c>
      <c r="D109" s="22" t="s">
        <v>32</v>
      </c>
      <c r="E109" s="21">
        <v>83</v>
      </c>
      <c r="F109" s="21">
        <v>1</v>
      </c>
      <c r="G109" s="21">
        <v>25</v>
      </c>
      <c r="H109" s="21">
        <v>15</v>
      </c>
      <c r="I109" s="21">
        <v>50</v>
      </c>
      <c r="J109" s="21">
        <v>30</v>
      </c>
    </row>
    <row r="110" spans="1:10" ht="15.75" customHeight="1" thickBot="1">
      <c r="A110" s="21">
        <v>28</v>
      </c>
      <c r="B110" s="22" t="s">
        <v>2</v>
      </c>
      <c r="C110" s="22" t="s">
        <v>30</v>
      </c>
      <c r="D110" s="22" t="s">
        <v>32</v>
      </c>
      <c r="E110" s="21">
        <v>94</v>
      </c>
      <c r="F110" s="21">
        <v>0.83</v>
      </c>
      <c r="G110" s="21">
        <v>60</v>
      </c>
      <c r="H110" s="21">
        <v>35</v>
      </c>
      <c r="I110" s="21">
        <v>60</v>
      </c>
      <c r="J110" s="21">
        <v>51.7</v>
      </c>
    </row>
    <row r="111" spans="1:10" ht="15.75" customHeight="1" thickBot="1">
      <c r="A111" s="21">
        <v>28</v>
      </c>
      <c r="B111" s="22" t="s">
        <v>3</v>
      </c>
      <c r="C111" s="22" t="s">
        <v>30</v>
      </c>
      <c r="D111" s="22" t="s">
        <v>33</v>
      </c>
      <c r="E111" s="21">
        <v>109</v>
      </c>
      <c r="F111" s="21">
        <v>1</v>
      </c>
      <c r="G111" s="21">
        <v>60</v>
      </c>
      <c r="H111" s="21">
        <v>45</v>
      </c>
      <c r="I111" s="21">
        <v>65</v>
      </c>
      <c r="J111" s="21">
        <v>56.7</v>
      </c>
    </row>
    <row r="112" spans="1:10" ht="15.75" customHeight="1" thickBot="1">
      <c r="A112" s="21">
        <v>28</v>
      </c>
      <c r="B112" s="22" t="s">
        <v>4</v>
      </c>
      <c r="C112" s="22" t="s">
        <v>31</v>
      </c>
      <c r="D112" s="22" t="s">
        <v>33</v>
      </c>
      <c r="E112" s="21">
        <v>86</v>
      </c>
      <c r="F112" s="21">
        <v>1</v>
      </c>
      <c r="G112" s="21">
        <v>60</v>
      </c>
      <c r="H112" s="21">
        <v>30</v>
      </c>
      <c r="I112" s="21">
        <v>55</v>
      </c>
      <c r="J112" s="21">
        <v>48.3</v>
      </c>
    </row>
    <row r="113" spans="1:10" ht="15.75" customHeight="1" thickBot="1">
      <c r="A113" s="21">
        <v>28</v>
      </c>
      <c r="B113" s="22" t="s">
        <v>5</v>
      </c>
      <c r="C113" s="22" t="s">
        <v>31</v>
      </c>
      <c r="D113" s="22" t="s">
        <v>32</v>
      </c>
      <c r="E113" s="21">
        <v>93</v>
      </c>
      <c r="F113" s="21">
        <v>1</v>
      </c>
      <c r="G113" s="21">
        <v>60</v>
      </c>
      <c r="H113" s="21">
        <v>30</v>
      </c>
      <c r="I113" s="21">
        <v>55</v>
      </c>
      <c r="J113" s="21">
        <v>48.3</v>
      </c>
    </row>
    <row r="114" spans="1:10" ht="15.75" customHeight="1" thickBot="1">
      <c r="A114" s="21">
        <v>29</v>
      </c>
      <c r="B114" s="22" t="s">
        <v>2</v>
      </c>
      <c r="C114" s="22" t="s">
        <v>30</v>
      </c>
      <c r="D114" s="22" t="s">
        <v>32</v>
      </c>
      <c r="E114" s="21">
        <v>58</v>
      </c>
      <c r="F114" s="21">
        <v>0.67</v>
      </c>
      <c r="G114" s="21">
        <v>45</v>
      </c>
      <c r="H114" s="21">
        <v>45</v>
      </c>
      <c r="I114" s="21">
        <v>60</v>
      </c>
      <c r="J114" s="21">
        <v>50</v>
      </c>
    </row>
    <row r="115" spans="1:10" ht="15.75" customHeight="1" thickBot="1">
      <c r="A115" s="21">
        <v>29</v>
      </c>
      <c r="B115" s="22" t="s">
        <v>3</v>
      </c>
      <c r="C115" s="22" t="s">
        <v>30</v>
      </c>
      <c r="D115" s="22" t="s">
        <v>33</v>
      </c>
      <c r="E115" s="21">
        <v>56</v>
      </c>
      <c r="F115" s="21">
        <v>0.83</v>
      </c>
      <c r="G115" s="21">
        <v>50</v>
      </c>
      <c r="H115" s="21">
        <v>40</v>
      </c>
      <c r="I115" s="21">
        <v>60</v>
      </c>
      <c r="J115" s="21">
        <v>50</v>
      </c>
    </row>
    <row r="116" spans="1:10" ht="15.75" customHeight="1" thickBot="1">
      <c r="A116" s="21">
        <v>29</v>
      </c>
      <c r="B116" s="22" t="s">
        <v>4</v>
      </c>
      <c r="C116" s="22" t="s">
        <v>31</v>
      </c>
      <c r="D116" s="22" t="s">
        <v>33</v>
      </c>
      <c r="E116" s="21">
        <v>52</v>
      </c>
      <c r="F116" s="21">
        <v>1</v>
      </c>
      <c r="G116" s="21">
        <v>50</v>
      </c>
      <c r="H116" s="21">
        <v>30</v>
      </c>
      <c r="I116" s="21">
        <v>40</v>
      </c>
      <c r="J116" s="21">
        <v>40</v>
      </c>
    </row>
    <row r="117" spans="1:10" ht="15.75" customHeight="1" thickBot="1">
      <c r="A117" s="21">
        <v>29</v>
      </c>
      <c r="B117" s="22" t="s">
        <v>5</v>
      </c>
      <c r="C117" s="22" t="s">
        <v>31</v>
      </c>
      <c r="D117" s="22" t="s">
        <v>32</v>
      </c>
      <c r="E117" s="21">
        <v>54</v>
      </c>
      <c r="F117" s="21">
        <v>0.83</v>
      </c>
      <c r="G117" s="21">
        <v>20</v>
      </c>
      <c r="H117" s="21">
        <v>30</v>
      </c>
      <c r="I117" s="21">
        <v>25</v>
      </c>
      <c r="J117" s="21">
        <v>25</v>
      </c>
    </row>
    <row r="118" spans="1:10" ht="15.75" customHeight="1" thickBot="1">
      <c r="A118" s="21">
        <v>30</v>
      </c>
      <c r="B118" s="22" t="s">
        <v>2</v>
      </c>
      <c r="C118" s="22" t="s">
        <v>30</v>
      </c>
      <c r="D118" s="22" t="s">
        <v>32</v>
      </c>
      <c r="E118" s="21">
        <v>115</v>
      </c>
      <c r="F118" s="21">
        <v>1</v>
      </c>
      <c r="G118" s="21">
        <v>60</v>
      </c>
      <c r="H118" s="21">
        <v>60</v>
      </c>
      <c r="I118" s="21">
        <v>70</v>
      </c>
      <c r="J118" s="21">
        <v>63.3</v>
      </c>
    </row>
    <row r="119" spans="1:10" ht="15.75" customHeight="1" thickBot="1">
      <c r="A119" s="21">
        <v>30</v>
      </c>
      <c r="B119" s="22" t="s">
        <v>3</v>
      </c>
      <c r="C119" s="22" t="s">
        <v>30</v>
      </c>
      <c r="D119" s="22" t="s">
        <v>33</v>
      </c>
      <c r="E119" s="21">
        <v>100</v>
      </c>
      <c r="F119" s="21">
        <v>0.83</v>
      </c>
      <c r="G119" s="21">
        <v>65</v>
      </c>
      <c r="H119" s="21">
        <v>40</v>
      </c>
      <c r="I119" s="21">
        <v>65</v>
      </c>
      <c r="J119" s="21">
        <v>56.7</v>
      </c>
    </row>
    <row r="120" spans="1:10" ht="15.75" customHeight="1" thickBot="1">
      <c r="A120" s="21">
        <v>30</v>
      </c>
      <c r="B120" s="22" t="s">
        <v>4</v>
      </c>
      <c r="C120" s="22" t="s">
        <v>31</v>
      </c>
      <c r="D120" s="22" t="s">
        <v>33</v>
      </c>
      <c r="E120" s="21">
        <v>103</v>
      </c>
      <c r="F120" s="21">
        <v>0.83</v>
      </c>
      <c r="G120" s="21">
        <v>70</v>
      </c>
      <c r="H120" s="21">
        <v>65</v>
      </c>
      <c r="I120" s="21">
        <v>10</v>
      </c>
      <c r="J120" s="21">
        <v>48.3</v>
      </c>
    </row>
    <row r="121" spans="1:10" ht="15.75" customHeight="1" thickBot="1">
      <c r="A121" s="21">
        <v>30</v>
      </c>
      <c r="B121" s="22" t="s">
        <v>5</v>
      </c>
      <c r="C121" s="22" t="s">
        <v>31</v>
      </c>
      <c r="D121" s="22" t="s">
        <v>32</v>
      </c>
      <c r="E121" s="21">
        <v>106</v>
      </c>
      <c r="F121" s="21">
        <v>1</v>
      </c>
      <c r="G121" s="21">
        <v>20</v>
      </c>
      <c r="H121" s="21">
        <v>0</v>
      </c>
      <c r="I121" s="21">
        <v>25</v>
      </c>
      <c r="J121" s="21">
        <v>15</v>
      </c>
    </row>
    <row r="122" spans="1:10" ht="15.75" customHeight="1" thickBot="1">
      <c r="A122" s="21">
        <v>31</v>
      </c>
      <c r="B122" s="22" t="s">
        <v>2</v>
      </c>
      <c r="C122" s="22" t="s">
        <v>30</v>
      </c>
      <c r="D122" s="22" t="s">
        <v>32</v>
      </c>
      <c r="E122" s="21">
        <v>84</v>
      </c>
      <c r="F122" s="21">
        <v>1</v>
      </c>
      <c r="G122" s="21">
        <v>40</v>
      </c>
      <c r="H122" s="21">
        <v>15</v>
      </c>
      <c r="I122" s="21">
        <v>65</v>
      </c>
      <c r="J122" s="21">
        <v>40</v>
      </c>
    </row>
    <row r="123" spans="1:10" ht="15.75" customHeight="1" thickBot="1">
      <c r="A123" s="21">
        <v>31</v>
      </c>
      <c r="B123" s="22" t="s">
        <v>3</v>
      </c>
      <c r="C123" s="22" t="s">
        <v>30</v>
      </c>
      <c r="D123" s="22" t="s">
        <v>33</v>
      </c>
      <c r="E123" s="21">
        <v>89</v>
      </c>
      <c r="F123" s="21">
        <v>0.8</v>
      </c>
      <c r="G123" s="21">
        <v>50</v>
      </c>
      <c r="H123" s="21">
        <v>25</v>
      </c>
      <c r="I123" s="21">
        <v>80</v>
      </c>
      <c r="J123" s="21">
        <v>51.7</v>
      </c>
    </row>
    <row r="124" spans="1:10" ht="15.75" customHeight="1" thickBot="1">
      <c r="A124" s="21">
        <v>31</v>
      </c>
      <c r="B124" s="22" t="s">
        <v>4</v>
      </c>
      <c r="C124" s="22" t="s">
        <v>31</v>
      </c>
      <c r="D124" s="22" t="s">
        <v>33</v>
      </c>
      <c r="E124" s="21">
        <v>102</v>
      </c>
      <c r="F124" s="21">
        <v>1</v>
      </c>
      <c r="G124" s="21">
        <v>15</v>
      </c>
      <c r="H124" s="21">
        <v>15</v>
      </c>
      <c r="I124" s="21">
        <v>25</v>
      </c>
      <c r="J124" s="21">
        <v>18.3</v>
      </c>
    </row>
    <row r="125" spans="1:10" ht="15.75" customHeight="1" thickBot="1">
      <c r="A125" s="21">
        <v>31</v>
      </c>
      <c r="B125" s="22" t="s">
        <v>5</v>
      </c>
      <c r="C125" s="22" t="s">
        <v>31</v>
      </c>
      <c r="D125" s="22" t="s">
        <v>32</v>
      </c>
      <c r="E125" s="21">
        <v>94</v>
      </c>
      <c r="F125" s="21">
        <v>0.8</v>
      </c>
      <c r="G125" s="21">
        <v>20</v>
      </c>
      <c r="H125" s="21">
        <v>30</v>
      </c>
      <c r="I125" s="21">
        <v>55</v>
      </c>
      <c r="J125" s="21">
        <v>35</v>
      </c>
    </row>
    <row r="126" spans="1:10" ht="15.75" customHeight="1" thickBot="1">
      <c r="A126" s="21">
        <v>32</v>
      </c>
      <c r="B126" s="22" t="s">
        <v>2</v>
      </c>
      <c r="C126" s="22" t="s">
        <v>30</v>
      </c>
      <c r="D126" s="22" t="s">
        <v>32</v>
      </c>
      <c r="E126" s="21">
        <v>162</v>
      </c>
      <c r="F126" s="21">
        <v>0.83</v>
      </c>
      <c r="G126" s="21">
        <v>40</v>
      </c>
      <c r="H126" s="21">
        <v>40</v>
      </c>
      <c r="I126" s="21">
        <v>40</v>
      </c>
      <c r="J126" s="21">
        <v>40</v>
      </c>
    </row>
    <row r="127" spans="1:10" ht="15.75" customHeight="1" thickBot="1">
      <c r="A127" s="21">
        <v>32</v>
      </c>
      <c r="B127" s="22" t="s">
        <v>3</v>
      </c>
      <c r="C127" s="22" t="s">
        <v>30</v>
      </c>
      <c r="D127" s="22" t="s">
        <v>33</v>
      </c>
      <c r="E127" s="21">
        <v>95</v>
      </c>
      <c r="F127" s="21">
        <v>1</v>
      </c>
      <c r="G127" s="21">
        <v>45</v>
      </c>
      <c r="H127" s="21">
        <v>45</v>
      </c>
      <c r="I127" s="21">
        <v>45</v>
      </c>
      <c r="J127" s="21">
        <v>45</v>
      </c>
    </row>
    <row r="128" spans="1:10" ht="15.75" customHeight="1" thickBot="1">
      <c r="A128" s="21">
        <v>32</v>
      </c>
      <c r="B128" s="22" t="s">
        <v>4</v>
      </c>
      <c r="C128" s="22" t="s">
        <v>31</v>
      </c>
      <c r="D128" s="22" t="s">
        <v>33</v>
      </c>
      <c r="E128" s="21">
        <v>189</v>
      </c>
      <c r="F128" s="21">
        <v>1</v>
      </c>
      <c r="G128" s="21">
        <v>30</v>
      </c>
      <c r="H128" s="21">
        <v>90</v>
      </c>
      <c r="I128" s="21">
        <v>30</v>
      </c>
      <c r="J128" s="21">
        <v>50</v>
      </c>
    </row>
    <row r="129" spans="1:10" ht="15.75" customHeight="1" thickBot="1">
      <c r="A129" s="21">
        <v>32</v>
      </c>
      <c r="B129" s="22" t="s">
        <v>5</v>
      </c>
      <c r="C129" s="22" t="s">
        <v>31</v>
      </c>
      <c r="D129" s="22" t="s">
        <v>32</v>
      </c>
      <c r="E129" s="21">
        <v>91</v>
      </c>
      <c r="F129" s="21">
        <v>1</v>
      </c>
      <c r="G129" s="21">
        <v>40</v>
      </c>
      <c r="H129" s="21">
        <v>65</v>
      </c>
      <c r="I129" s="21">
        <v>35</v>
      </c>
      <c r="J129" s="21">
        <v>46.7</v>
      </c>
    </row>
    <row r="130" spans="1:10" ht="15.75" customHeight="1" thickBot="1">
      <c r="A130" s="21">
        <v>33</v>
      </c>
      <c r="B130" s="22" t="s">
        <v>2</v>
      </c>
      <c r="C130" s="22" t="s">
        <v>30</v>
      </c>
      <c r="D130" s="22" t="s">
        <v>32</v>
      </c>
      <c r="E130" s="21">
        <v>55</v>
      </c>
      <c r="F130" s="21">
        <v>1</v>
      </c>
      <c r="G130" s="21">
        <v>5</v>
      </c>
      <c r="H130" s="21">
        <v>20</v>
      </c>
      <c r="I130" s="21">
        <v>65</v>
      </c>
      <c r="J130" s="21">
        <v>30</v>
      </c>
    </row>
    <row r="131" spans="1:10" ht="15.75" customHeight="1" thickBot="1">
      <c r="A131" s="21">
        <v>33</v>
      </c>
      <c r="B131" s="22" t="s">
        <v>3</v>
      </c>
      <c r="C131" s="22" t="s">
        <v>30</v>
      </c>
      <c r="D131" s="22" t="s">
        <v>33</v>
      </c>
      <c r="E131" s="21">
        <v>52</v>
      </c>
      <c r="F131" s="21">
        <v>0.67</v>
      </c>
      <c r="G131" s="21">
        <v>10</v>
      </c>
      <c r="H131" s="21">
        <v>45</v>
      </c>
      <c r="I131" s="21">
        <v>75</v>
      </c>
      <c r="J131" s="21">
        <v>43.3</v>
      </c>
    </row>
    <row r="132" spans="1:10" ht="15.75" customHeight="1" thickBot="1">
      <c r="A132" s="21">
        <v>33</v>
      </c>
      <c r="B132" s="22" t="s">
        <v>4</v>
      </c>
      <c r="C132" s="22" t="s">
        <v>31</v>
      </c>
      <c r="D132" s="22" t="s">
        <v>33</v>
      </c>
      <c r="E132" s="21">
        <v>50</v>
      </c>
      <c r="F132" s="21">
        <v>1</v>
      </c>
      <c r="G132" s="21">
        <v>0</v>
      </c>
      <c r="H132" s="21">
        <v>15</v>
      </c>
      <c r="I132" s="21">
        <v>45</v>
      </c>
      <c r="J132" s="21">
        <v>20</v>
      </c>
    </row>
    <row r="133" spans="1:10" ht="15.75" customHeight="1" thickBot="1">
      <c r="A133" s="21">
        <v>33</v>
      </c>
      <c r="B133" s="22" t="s">
        <v>5</v>
      </c>
      <c r="C133" s="22" t="s">
        <v>31</v>
      </c>
      <c r="D133" s="22" t="s">
        <v>32</v>
      </c>
      <c r="E133" s="21">
        <v>49</v>
      </c>
      <c r="F133" s="21">
        <v>1</v>
      </c>
      <c r="G133" s="21">
        <v>0</v>
      </c>
      <c r="H133" s="21">
        <v>20</v>
      </c>
      <c r="I133" s="21">
        <v>45</v>
      </c>
      <c r="J133" s="21">
        <v>21.7</v>
      </c>
    </row>
    <row r="134" spans="1:10" ht="15.75" customHeight="1" thickBot="1">
      <c r="A134" s="21">
        <v>34</v>
      </c>
      <c r="B134" s="22" t="s">
        <v>2</v>
      </c>
      <c r="C134" s="22" t="s">
        <v>30</v>
      </c>
      <c r="D134" s="22" t="s">
        <v>32</v>
      </c>
      <c r="E134" s="21">
        <v>111</v>
      </c>
      <c r="F134" s="21">
        <v>1</v>
      </c>
      <c r="G134" s="21">
        <v>60</v>
      </c>
      <c r="H134" s="21">
        <v>30</v>
      </c>
      <c r="I134" s="21">
        <v>70</v>
      </c>
      <c r="J134" s="21">
        <v>53.3</v>
      </c>
    </row>
    <row r="135" spans="1:10" ht="15.75" customHeight="1" thickBot="1">
      <c r="A135" s="21">
        <v>34</v>
      </c>
      <c r="B135" s="22" t="s">
        <v>3</v>
      </c>
      <c r="C135" s="22" t="s">
        <v>30</v>
      </c>
      <c r="D135" s="22" t="s">
        <v>33</v>
      </c>
      <c r="E135" s="21">
        <v>60</v>
      </c>
      <c r="F135" s="21">
        <v>0.8</v>
      </c>
      <c r="G135" s="21">
        <v>25</v>
      </c>
      <c r="H135" s="21">
        <v>45</v>
      </c>
      <c r="I135" s="21">
        <v>55</v>
      </c>
      <c r="J135" s="21">
        <v>41.7</v>
      </c>
    </row>
    <row r="136" spans="1:10" ht="15.75" customHeight="1" thickBot="1">
      <c r="A136" s="21">
        <v>34</v>
      </c>
      <c r="B136" s="22" t="s">
        <v>4</v>
      </c>
      <c r="C136" s="22" t="s">
        <v>31</v>
      </c>
      <c r="D136" s="22" t="s">
        <v>33</v>
      </c>
      <c r="E136" s="21">
        <v>73</v>
      </c>
      <c r="F136" s="21">
        <v>1</v>
      </c>
      <c r="G136" s="21">
        <v>30</v>
      </c>
      <c r="H136" s="21">
        <v>25</v>
      </c>
      <c r="I136" s="21">
        <v>35</v>
      </c>
      <c r="J136" s="21">
        <v>30</v>
      </c>
    </row>
    <row r="137" spans="1:10" ht="15.75" customHeight="1" thickBot="1">
      <c r="A137" s="21">
        <v>34</v>
      </c>
      <c r="B137" s="22" t="s">
        <v>5</v>
      </c>
      <c r="C137" s="22" t="s">
        <v>31</v>
      </c>
      <c r="D137" s="22" t="s">
        <v>32</v>
      </c>
      <c r="E137" s="21">
        <v>75</v>
      </c>
      <c r="F137" s="21">
        <v>1</v>
      </c>
      <c r="G137" s="21">
        <v>60</v>
      </c>
      <c r="H137" s="21">
        <v>35</v>
      </c>
      <c r="I137" s="21">
        <v>75</v>
      </c>
      <c r="J137" s="21">
        <v>56.7</v>
      </c>
    </row>
    <row r="138" spans="1:10" ht="15.75" customHeight="1" thickBot="1">
      <c r="A138" s="21">
        <v>35</v>
      </c>
      <c r="B138" s="22" t="s">
        <v>2</v>
      </c>
      <c r="C138" s="22" t="s">
        <v>30</v>
      </c>
      <c r="D138" s="22" t="s">
        <v>32</v>
      </c>
      <c r="E138" s="21">
        <v>83</v>
      </c>
      <c r="F138" s="21">
        <v>1</v>
      </c>
      <c r="G138" s="21">
        <v>65</v>
      </c>
      <c r="H138" s="21">
        <v>55</v>
      </c>
      <c r="I138" s="21">
        <v>70</v>
      </c>
      <c r="J138" s="21">
        <v>63.3</v>
      </c>
    </row>
    <row r="139" spans="1:10" ht="15.75" customHeight="1" thickBot="1">
      <c r="A139" s="21">
        <v>35</v>
      </c>
      <c r="B139" s="22" t="s">
        <v>3</v>
      </c>
      <c r="C139" s="22" t="s">
        <v>30</v>
      </c>
      <c r="D139" s="22" t="s">
        <v>33</v>
      </c>
      <c r="E139" s="21">
        <v>69</v>
      </c>
      <c r="F139" s="21">
        <v>0.67</v>
      </c>
      <c r="G139" s="21">
        <v>65</v>
      </c>
      <c r="H139" s="21">
        <v>60</v>
      </c>
      <c r="I139" s="21">
        <v>65</v>
      </c>
      <c r="J139" s="21">
        <v>63.3</v>
      </c>
    </row>
    <row r="140" spans="1:10" ht="15.75" customHeight="1" thickBot="1">
      <c r="A140" s="21">
        <v>35</v>
      </c>
      <c r="B140" s="22" t="s">
        <v>4</v>
      </c>
      <c r="C140" s="22" t="s">
        <v>31</v>
      </c>
      <c r="D140" s="22" t="s">
        <v>33</v>
      </c>
      <c r="E140" s="21">
        <v>62</v>
      </c>
      <c r="F140" s="21">
        <v>1</v>
      </c>
      <c r="G140" s="21">
        <v>55</v>
      </c>
      <c r="H140" s="21">
        <v>95</v>
      </c>
      <c r="I140" s="21">
        <v>65</v>
      </c>
      <c r="J140" s="21">
        <v>71.7</v>
      </c>
    </row>
    <row r="141" spans="1:10" ht="15.75" customHeight="1" thickBot="1">
      <c r="A141" s="21">
        <v>35</v>
      </c>
      <c r="B141" s="22" t="s">
        <v>5</v>
      </c>
      <c r="C141" s="22" t="s">
        <v>31</v>
      </c>
      <c r="D141" s="22" t="s">
        <v>32</v>
      </c>
      <c r="E141" s="21">
        <v>61</v>
      </c>
      <c r="F141" s="21">
        <v>1</v>
      </c>
      <c r="G141" s="21">
        <v>65</v>
      </c>
      <c r="H141" s="21">
        <v>85</v>
      </c>
      <c r="I141" s="21">
        <v>75</v>
      </c>
      <c r="J141" s="21">
        <v>75</v>
      </c>
    </row>
    <row r="142" spans="1:10" ht="15.75" customHeight="1" thickBot="1">
      <c r="A142" s="21">
        <v>36</v>
      </c>
      <c r="B142" s="22" t="s">
        <v>2</v>
      </c>
      <c r="C142" s="22" t="s">
        <v>30</v>
      </c>
      <c r="D142" s="22" t="s">
        <v>32</v>
      </c>
      <c r="E142" s="21">
        <v>82</v>
      </c>
      <c r="F142" s="21">
        <v>0.67</v>
      </c>
      <c r="G142" s="21">
        <v>0</v>
      </c>
      <c r="H142" s="21">
        <v>100</v>
      </c>
      <c r="I142" s="21">
        <v>90</v>
      </c>
      <c r="J142" s="21">
        <v>63.3</v>
      </c>
    </row>
    <row r="143" spans="1:10" ht="15.75" customHeight="1" thickBot="1">
      <c r="A143" s="21">
        <v>36</v>
      </c>
      <c r="B143" s="22" t="s">
        <v>3</v>
      </c>
      <c r="C143" s="22" t="s">
        <v>30</v>
      </c>
      <c r="D143" s="22" t="s">
        <v>33</v>
      </c>
      <c r="E143" s="21">
        <v>114</v>
      </c>
      <c r="F143" s="21">
        <v>0.8</v>
      </c>
      <c r="G143" s="21">
        <v>70</v>
      </c>
      <c r="H143" s="21">
        <v>10</v>
      </c>
      <c r="I143" s="21">
        <v>50</v>
      </c>
      <c r="J143" s="21">
        <v>43.3</v>
      </c>
    </row>
    <row r="144" spans="1:10" ht="15.75" customHeight="1" thickBot="1">
      <c r="A144" s="21">
        <v>36</v>
      </c>
      <c r="B144" s="22" t="s">
        <v>4</v>
      </c>
      <c r="C144" s="22" t="s">
        <v>31</v>
      </c>
      <c r="D144" s="22" t="s">
        <v>33</v>
      </c>
      <c r="E144" s="21">
        <v>84</v>
      </c>
      <c r="F144" s="21">
        <v>0.67</v>
      </c>
      <c r="G144" s="21">
        <v>0</v>
      </c>
      <c r="H144" s="21">
        <v>80</v>
      </c>
      <c r="I144" s="21">
        <v>0</v>
      </c>
      <c r="J144" s="21">
        <v>26.7</v>
      </c>
    </row>
    <row r="145" spans="1:10" ht="15.75" customHeight="1" thickBot="1">
      <c r="A145" s="21">
        <v>36</v>
      </c>
      <c r="B145" s="22" t="s">
        <v>5</v>
      </c>
      <c r="C145" s="22" t="s">
        <v>31</v>
      </c>
      <c r="D145" s="22" t="s">
        <v>32</v>
      </c>
      <c r="E145" s="21">
        <v>71</v>
      </c>
      <c r="F145" s="21">
        <v>0.83</v>
      </c>
      <c r="G145" s="21">
        <v>0</v>
      </c>
      <c r="H145" s="21">
        <v>100</v>
      </c>
      <c r="I145" s="21">
        <v>60</v>
      </c>
      <c r="J145" s="21">
        <v>53.3</v>
      </c>
    </row>
    <row r="146" spans="1:10" ht="15.75" customHeight="1" thickBot="1">
      <c r="A146" s="21">
        <v>37</v>
      </c>
      <c r="B146" s="22" t="s">
        <v>2</v>
      </c>
      <c r="C146" s="22" t="s">
        <v>30</v>
      </c>
      <c r="D146" s="22" t="s">
        <v>32</v>
      </c>
      <c r="E146" s="21">
        <v>83</v>
      </c>
      <c r="F146" s="21">
        <v>0.83</v>
      </c>
      <c r="G146" s="21">
        <v>5</v>
      </c>
      <c r="H146" s="21">
        <v>55</v>
      </c>
      <c r="I146" s="21">
        <v>60</v>
      </c>
      <c r="J146" s="21">
        <v>40</v>
      </c>
    </row>
    <row r="147" spans="1:10" ht="15.75" customHeight="1" thickBot="1">
      <c r="A147" s="21">
        <v>37</v>
      </c>
      <c r="B147" s="22" t="s">
        <v>3</v>
      </c>
      <c r="C147" s="22" t="s">
        <v>30</v>
      </c>
      <c r="D147" s="22" t="s">
        <v>33</v>
      </c>
      <c r="E147" s="21">
        <v>100</v>
      </c>
      <c r="F147" s="21">
        <v>1</v>
      </c>
      <c r="G147" s="21">
        <v>10</v>
      </c>
      <c r="H147" s="21">
        <v>55</v>
      </c>
      <c r="I147" s="21">
        <v>5</v>
      </c>
      <c r="J147" s="21">
        <v>23.3</v>
      </c>
    </row>
    <row r="148" spans="1:10" ht="15.75" customHeight="1" thickBot="1">
      <c r="A148" s="21">
        <v>37</v>
      </c>
      <c r="B148" s="22" t="s">
        <v>4</v>
      </c>
      <c r="C148" s="22" t="s">
        <v>31</v>
      </c>
      <c r="D148" s="22" t="s">
        <v>33</v>
      </c>
      <c r="E148" s="21">
        <v>72</v>
      </c>
      <c r="F148" s="21">
        <v>1</v>
      </c>
      <c r="G148" s="21">
        <v>5</v>
      </c>
      <c r="H148" s="21">
        <v>5</v>
      </c>
      <c r="I148" s="21">
        <v>40</v>
      </c>
      <c r="J148" s="21">
        <v>16.7</v>
      </c>
    </row>
    <row r="149" spans="1:10" ht="15.75" customHeight="1" thickBot="1">
      <c r="A149" s="21">
        <v>37</v>
      </c>
      <c r="B149" s="22" t="s">
        <v>5</v>
      </c>
      <c r="C149" s="22" t="s">
        <v>31</v>
      </c>
      <c r="D149" s="22" t="s">
        <v>32</v>
      </c>
      <c r="E149" s="21">
        <v>80</v>
      </c>
      <c r="F149" s="21">
        <v>0.83</v>
      </c>
      <c r="G149" s="21">
        <v>5</v>
      </c>
      <c r="H149" s="21">
        <v>45</v>
      </c>
      <c r="I149" s="21">
        <v>10</v>
      </c>
      <c r="J149" s="21">
        <v>20</v>
      </c>
    </row>
    <row r="150" spans="1:10" ht="15.75" customHeight="1" thickBot="1">
      <c r="A150" s="21">
        <v>38</v>
      </c>
      <c r="B150" s="22" t="s">
        <v>2</v>
      </c>
      <c r="C150" s="22" t="s">
        <v>30</v>
      </c>
      <c r="D150" s="22" t="s">
        <v>32</v>
      </c>
      <c r="E150" s="21">
        <v>64</v>
      </c>
      <c r="F150" s="21">
        <v>1</v>
      </c>
      <c r="G150" s="21">
        <v>40</v>
      </c>
      <c r="H150" s="21">
        <v>30</v>
      </c>
      <c r="I150" s="21">
        <v>50</v>
      </c>
      <c r="J150" s="21">
        <v>40</v>
      </c>
    </row>
    <row r="151" spans="1:10" ht="15.75" customHeight="1" thickBot="1">
      <c r="A151" s="21">
        <v>38</v>
      </c>
      <c r="B151" s="22" t="s">
        <v>3</v>
      </c>
      <c r="C151" s="22" t="s">
        <v>30</v>
      </c>
      <c r="D151" s="22" t="s">
        <v>33</v>
      </c>
      <c r="E151" s="21">
        <v>49</v>
      </c>
      <c r="F151" s="21">
        <v>0.8</v>
      </c>
      <c r="G151" s="21">
        <v>40</v>
      </c>
      <c r="H151" s="21">
        <v>40</v>
      </c>
      <c r="I151" s="21">
        <v>55</v>
      </c>
      <c r="J151" s="21">
        <v>45</v>
      </c>
    </row>
    <row r="152" spans="1:10" ht="15.75" customHeight="1" thickBot="1">
      <c r="A152" s="21">
        <v>38</v>
      </c>
      <c r="B152" s="22" t="s">
        <v>4</v>
      </c>
      <c r="C152" s="22" t="s">
        <v>31</v>
      </c>
      <c r="D152" s="22" t="s">
        <v>33</v>
      </c>
      <c r="E152" s="21">
        <v>54</v>
      </c>
      <c r="F152" s="21">
        <v>0.83</v>
      </c>
      <c r="G152" s="21">
        <v>25</v>
      </c>
      <c r="H152" s="21">
        <v>20</v>
      </c>
      <c r="I152" s="21">
        <v>30</v>
      </c>
      <c r="J152" s="21">
        <v>25</v>
      </c>
    </row>
    <row r="153" spans="1:10" ht="15.75" customHeight="1" thickBot="1">
      <c r="A153" s="21">
        <v>38</v>
      </c>
      <c r="B153" s="22" t="s">
        <v>5</v>
      </c>
      <c r="C153" s="22" t="s">
        <v>31</v>
      </c>
      <c r="D153" s="22" t="s">
        <v>32</v>
      </c>
      <c r="E153" s="21">
        <v>62</v>
      </c>
      <c r="F153" s="21">
        <v>0.83</v>
      </c>
      <c r="G153" s="21">
        <v>30</v>
      </c>
      <c r="H153" s="21">
        <v>20</v>
      </c>
      <c r="I153" s="21">
        <v>40</v>
      </c>
      <c r="J153" s="21">
        <v>30</v>
      </c>
    </row>
    <row r="154" spans="1:10" ht="15.75" customHeight="1" thickBot="1">
      <c r="A154" s="21">
        <v>39</v>
      </c>
      <c r="B154" s="22" t="s">
        <v>2</v>
      </c>
      <c r="C154" s="22" t="s">
        <v>30</v>
      </c>
      <c r="D154" s="22" t="s">
        <v>32</v>
      </c>
      <c r="E154" s="21">
        <v>79</v>
      </c>
      <c r="F154" s="21">
        <v>1</v>
      </c>
      <c r="G154" s="21">
        <v>25</v>
      </c>
      <c r="H154" s="21">
        <v>25</v>
      </c>
      <c r="I154" s="21">
        <v>30</v>
      </c>
      <c r="J154" s="21">
        <v>26.7</v>
      </c>
    </row>
    <row r="155" spans="1:10" ht="15.75" customHeight="1" thickBot="1">
      <c r="A155" s="21">
        <v>39</v>
      </c>
      <c r="B155" s="22" t="s">
        <v>3</v>
      </c>
      <c r="C155" s="22" t="s">
        <v>30</v>
      </c>
      <c r="D155" s="22" t="s">
        <v>33</v>
      </c>
      <c r="E155" s="21">
        <v>81</v>
      </c>
      <c r="F155" s="21">
        <v>0.71</v>
      </c>
      <c r="G155" s="21">
        <v>35</v>
      </c>
      <c r="H155" s="21">
        <v>40</v>
      </c>
      <c r="I155" s="21">
        <v>45</v>
      </c>
      <c r="J155" s="21">
        <v>40</v>
      </c>
    </row>
    <row r="156" spans="1:10" ht="15.75" customHeight="1" thickBot="1">
      <c r="A156" s="21">
        <v>39</v>
      </c>
      <c r="B156" s="22" t="s">
        <v>4</v>
      </c>
      <c r="C156" s="22" t="s">
        <v>31</v>
      </c>
      <c r="D156" s="22" t="s">
        <v>33</v>
      </c>
      <c r="E156" s="21">
        <v>89</v>
      </c>
      <c r="F156" s="21">
        <v>0.67</v>
      </c>
      <c r="G156" s="21">
        <v>30</v>
      </c>
      <c r="H156" s="21">
        <v>55</v>
      </c>
      <c r="I156" s="21">
        <v>60</v>
      </c>
      <c r="J156" s="21">
        <v>48.3</v>
      </c>
    </row>
    <row r="157" spans="1:10" ht="15.75" customHeight="1" thickBot="1">
      <c r="A157" s="21">
        <v>39</v>
      </c>
      <c r="B157" s="22" t="s">
        <v>5</v>
      </c>
      <c r="C157" s="22" t="s">
        <v>31</v>
      </c>
      <c r="D157" s="22" t="s">
        <v>32</v>
      </c>
      <c r="E157" s="21">
        <v>75</v>
      </c>
      <c r="F157" s="21">
        <v>1</v>
      </c>
      <c r="G157" s="21">
        <v>20</v>
      </c>
      <c r="H157" s="21">
        <v>35</v>
      </c>
      <c r="I157" s="21">
        <v>40</v>
      </c>
      <c r="J157" s="21">
        <v>31.7</v>
      </c>
    </row>
    <row r="158" spans="1:10" ht="15.75" customHeight="1" thickBot="1">
      <c r="A158" s="21">
        <v>40</v>
      </c>
      <c r="B158" s="22" t="s">
        <v>2</v>
      </c>
      <c r="C158" s="22" t="s">
        <v>30</v>
      </c>
      <c r="D158" s="22" t="s">
        <v>32</v>
      </c>
      <c r="E158" s="21">
        <v>59</v>
      </c>
      <c r="F158" s="21">
        <v>1</v>
      </c>
      <c r="G158" s="21">
        <v>20</v>
      </c>
      <c r="H158" s="21">
        <v>20</v>
      </c>
      <c r="I158" s="21">
        <v>30</v>
      </c>
      <c r="J158" s="21">
        <v>23.3</v>
      </c>
    </row>
    <row r="159" spans="1:10" ht="15.75" customHeight="1" thickBot="1">
      <c r="A159" s="21">
        <v>40</v>
      </c>
      <c r="B159" s="22" t="s">
        <v>3</v>
      </c>
      <c r="C159" s="22" t="s">
        <v>30</v>
      </c>
      <c r="D159" s="22" t="s">
        <v>33</v>
      </c>
      <c r="E159" s="21">
        <v>56</v>
      </c>
      <c r="F159" s="21">
        <v>0.8</v>
      </c>
      <c r="G159" s="21">
        <v>40</v>
      </c>
      <c r="H159" s="21">
        <v>40</v>
      </c>
      <c r="I159" s="21">
        <v>40</v>
      </c>
      <c r="J159" s="21">
        <v>40</v>
      </c>
    </row>
    <row r="160" spans="1:10" ht="15.75" customHeight="1" thickBot="1">
      <c r="A160" s="21">
        <v>40</v>
      </c>
      <c r="B160" s="22" t="s">
        <v>4</v>
      </c>
      <c r="C160" s="22" t="s">
        <v>31</v>
      </c>
      <c r="D160" s="22" t="s">
        <v>33</v>
      </c>
      <c r="E160" s="21">
        <v>55</v>
      </c>
      <c r="F160" s="21">
        <v>1</v>
      </c>
      <c r="G160" s="21">
        <v>30</v>
      </c>
      <c r="H160" s="21">
        <v>30</v>
      </c>
      <c r="I160" s="21">
        <v>50</v>
      </c>
      <c r="J160" s="21">
        <v>36.700000000000003</v>
      </c>
    </row>
    <row r="161" spans="1:10" ht="15.75" customHeight="1" thickBot="1">
      <c r="A161" s="21">
        <v>40</v>
      </c>
      <c r="B161" s="22" t="s">
        <v>5</v>
      </c>
      <c r="C161" s="22" t="s">
        <v>31</v>
      </c>
      <c r="D161" s="22" t="s">
        <v>32</v>
      </c>
      <c r="E161" s="21">
        <v>53</v>
      </c>
      <c r="F161" s="21">
        <v>1</v>
      </c>
      <c r="G161" s="21">
        <v>10</v>
      </c>
      <c r="H161" s="21">
        <v>20</v>
      </c>
      <c r="I161" s="21">
        <v>20</v>
      </c>
      <c r="J161" s="21">
        <v>16.7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outlinePr summaryBelow="0" summaryRight="0"/>
  </sheetPr>
  <dimension ref="A1:M101"/>
  <sheetViews>
    <sheetView workbookViewId="0"/>
  </sheetViews>
  <sheetFormatPr defaultColWidth="12.6640625" defaultRowHeight="15.75" customHeight="1"/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23" t="s">
        <v>27</v>
      </c>
      <c r="I1" s="24"/>
      <c r="J1" s="24"/>
      <c r="K1" s="24"/>
      <c r="L1" s="24"/>
      <c r="M1" s="24"/>
    </row>
    <row r="2" spans="1:13">
      <c r="A2" s="18">
        <v>1</v>
      </c>
      <c r="B2" s="19">
        <f ca="1">MAX(NORMINV(RAND(),'Collected Data'!I$4,'Collected Data'!I$5),0)</f>
        <v>16.546379253261488</v>
      </c>
      <c r="C2" s="19">
        <f ca="1">MAX(NORMINV(RAND(),'Collected Data'!J$4,'Collected Data'!J$5),0)</f>
        <v>82.759872718237858</v>
      </c>
      <c r="D2" s="19">
        <f ca="1">MAX(NORMINV(RAND(),'Collected Data'!K$4,'Collected Data'!K$5),0)</f>
        <v>84.761527398442638</v>
      </c>
      <c r="E2" s="19">
        <f ca="1">MAX(NORMINV(RAND(),'Collected Data'!L$4,'Collected Data'!L$5),0)</f>
        <v>104.29797348321918</v>
      </c>
      <c r="F2" s="19">
        <f ca="1">MAX(NORMINV(RAND(),'Collected Data'!M$4,'Collected Data'!M$5),0)</f>
        <v>90.768948467613328</v>
      </c>
      <c r="H2" s="24"/>
      <c r="I2" s="24"/>
      <c r="J2" s="24"/>
      <c r="K2" s="24"/>
      <c r="L2" s="24"/>
      <c r="M2" s="24"/>
    </row>
    <row r="3" spans="1:13">
      <c r="A3" s="18">
        <v>2</v>
      </c>
      <c r="B3" s="19">
        <f ca="1">MAX(NORMINV(RAND(),'Collected Data'!I$4,'Collected Data'!I$5),0)</f>
        <v>0</v>
      </c>
      <c r="C3" s="19">
        <f ca="1">MAX(NORMINV(RAND(),'Collected Data'!J$4,'Collected Data'!J$5),0)</f>
        <v>94.317832188114892</v>
      </c>
      <c r="D3" s="19">
        <f ca="1">MAX(NORMINV(RAND(),'Collected Data'!K$4,'Collected Data'!K$5),0)</f>
        <v>200.66001014578544</v>
      </c>
      <c r="E3" s="19">
        <f ca="1">MAX(NORMINV(RAND(),'Collected Data'!L$4,'Collected Data'!L$5),0)</f>
        <v>154.99336343063396</v>
      </c>
      <c r="F3" s="19">
        <f ca="1">MAX(NORMINV(RAND(),'Collected Data'!M$4,'Collected Data'!M$5),0)</f>
        <v>172.23492186535668</v>
      </c>
      <c r="I3" s="1" t="s">
        <v>1</v>
      </c>
      <c r="J3" s="1" t="s">
        <v>2</v>
      </c>
      <c r="K3" s="1" t="s">
        <v>3</v>
      </c>
      <c r="L3" s="1" t="s">
        <v>4</v>
      </c>
      <c r="M3" s="1" t="s">
        <v>5</v>
      </c>
    </row>
    <row r="4" spans="1:13">
      <c r="A4" s="18">
        <v>3</v>
      </c>
      <c r="B4" s="19">
        <f ca="1">MAX(NORMINV(RAND(),'Collected Data'!I$4,'Collected Data'!I$5),0)</f>
        <v>24.502476184654853</v>
      </c>
      <c r="C4" s="19">
        <f ca="1">MAX(NORMINV(RAND(),'Collected Data'!J$4,'Collected Data'!J$5),0)</f>
        <v>90.856032940740732</v>
      </c>
      <c r="D4" s="19">
        <f ca="1">MAX(NORMINV(RAND(),'Collected Data'!K$4,'Collected Data'!K$5),0)</f>
        <v>93.97898535144401</v>
      </c>
      <c r="E4" s="19">
        <f ca="1">MAX(NORMINV(RAND(),'Collected Data'!L$4,'Collected Data'!L$5),0)</f>
        <v>17.160942531483059</v>
      </c>
      <c r="F4" s="19">
        <f ca="1">MAX(NORMINV(RAND(),'Collected Data'!M$4,'Collected Data'!M$5),0)</f>
        <v>79.682068824087821</v>
      </c>
      <c r="H4" s="6" t="s">
        <v>7</v>
      </c>
      <c r="I4" s="7">
        <f t="shared" ref="I4:M4" ca="1" si="0">AVERAGE(B2:B101)</f>
        <v>17.095911403428889</v>
      </c>
      <c r="J4" s="7">
        <f t="shared" ca="1" si="0"/>
        <v>95.548029147395283</v>
      </c>
      <c r="K4" s="7">
        <f t="shared" ca="1" si="0"/>
        <v>104.4341512898485</v>
      </c>
      <c r="L4" s="7">
        <f t="shared" ca="1" si="0"/>
        <v>88.202963306589197</v>
      </c>
      <c r="M4" s="7">
        <f t="shared" ca="1" si="0"/>
        <v>95.998453384252358</v>
      </c>
    </row>
    <row r="5" spans="1:13">
      <c r="A5" s="18">
        <v>4</v>
      </c>
      <c r="B5" s="19">
        <f ca="1">MAX(NORMINV(RAND(),'Collected Data'!I$4,'Collected Data'!I$5),0)</f>
        <v>12.871712586730805</v>
      </c>
      <c r="C5" s="19">
        <f ca="1">MAX(NORMINV(RAND(),'Collected Data'!J$4,'Collected Data'!J$5),0)</f>
        <v>78.838980799451249</v>
      </c>
      <c r="D5" s="19">
        <f ca="1">MAX(NORMINV(RAND(),'Collected Data'!K$4,'Collected Data'!K$5),0)</f>
        <v>0</v>
      </c>
      <c r="E5" s="19">
        <f ca="1">MAX(NORMINV(RAND(),'Collected Data'!L$4,'Collected Data'!L$5),0)</f>
        <v>83.80097850579665</v>
      </c>
      <c r="F5" s="19">
        <f ca="1">MAX(NORMINV(RAND(),'Collected Data'!M$4,'Collected Data'!M$5),0)</f>
        <v>48.466478268031899</v>
      </c>
      <c r="H5" s="6" t="s">
        <v>8</v>
      </c>
      <c r="I5" s="7">
        <f t="shared" ref="I5:M5" ca="1" si="1">STDEV(B2:B101)</f>
        <v>8.2951034939338566</v>
      </c>
      <c r="J5" s="7">
        <f t="shared" ca="1" si="1"/>
        <v>33.272959428210257</v>
      </c>
      <c r="K5" s="7">
        <f t="shared" ca="1" si="1"/>
        <v>52.201863296510545</v>
      </c>
      <c r="L5" s="7">
        <f t="shared" ca="1" si="1"/>
        <v>43.922404057954942</v>
      </c>
      <c r="M5" s="7">
        <f t="shared" ca="1" si="1"/>
        <v>43.640225779265116</v>
      </c>
    </row>
    <row r="6" spans="1:13">
      <c r="A6" s="18">
        <v>5</v>
      </c>
      <c r="B6" s="19">
        <f ca="1">MAX(NORMINV(RAND(),'Collected Data'!I$4,'Collected Data'!I$5),0)</f>
        <v>24.918195955666185</v>
      </c>
      <c r="C6" s="19">
        <f ca="1">MAX(NORMINV(RAND(),'Collected Data'!J$4,'Collected Data'!J$5),0)</f>
        <v>133.76593169396182</v>
      </c>
      <c r="D6" s="19">
        <f ca="1">MAX(NORMINV(RAND(),'Collected Data'!K$4,'Collected Data'!K$5),0)</f>
        <v>14.265283666578583</v>
      </c>
      <c r="E6" s="19">
        <f ca="1">MAX(NORMINV(RAND(),'Collected Data'!L$4,'Collected Data'!L$5),0)</f>
        <v>170.56397156688286</v>
      </c>
      <c r="F6" s="19">
        <f ca="1">MAX(NORMINV(RAND(),'Collected Data'!M$4,'Collected Data'!M$5),0)</f>
        <v>172.48277358257621</v>
      </c>
      <c r="H6" s="6" t="s">
        <v>9</v>
      </c>
      <c r="I6" s="7">
        <f t="shared" ref="I6:M6" ca="1" si="2">PERCENTILE(B2:B101,0.25)</f>
        <v>12.068214082009568</v>
      </c>
      <c r="J6" s="7">
        <f t="shared" ca="1" si="2"/>
        <v>73.096643779081774</v>
      </c>
      <c r="K6" s="7">
        <f t="shared" ca="1" si="2"/>
        <v>72.599077648506011</v>
      </c>
      <c r="L6" s="7">
        <f t="shared" ca="1" si="2"/>
        <v>58.351185164766875</v>
      </c>
      <c r="M6" s="7">
        <f t="shared" ca="1" si="2"/>
        <v>65.170891316371012</v>
      </c>
    </row>
    <row r="7" spans="1:13">
      <c r="A7" s="18">
        <v>6</v>
      </c>
      <c r="B7" s="19">
        <f ca="1">MAX(NORMINV(RAND(),'Collected Data'!I$4,'Collected Data'!I$5),0)</f>
        <v>22.430335775742574</v>
      </c>
      <c r="C7" s="19">
        <f ca="1">MAX(NORMINV(RAND(),'Collected Data'!J$4,'Collected Data'!J$5),0)</f>
        <v>93.829188701502019</v>
      </c>
      <c r="D7" s="19">
        <f ca="1">MAX(NORMINV(RAND(),'Collected Data'!K$4,'Collected Data'!K$5),0)</f>
        <v>139.53671028004516</v>
      </c>
      <c r="E7" s="19">
        <f ca="1">MAX(NORMINV(RAND(),'Collected Data'!L$4,'Collected Data'!L$5),0)</f>
        <v>34.286688803242534</v>
      </c>
      <c r="F7" s="19">
        <f ca="1">MAX(NORMINV(RAND(),'Collected Data'!M$4,'Collected Data'!M$5),0)</f>
        <v>102.82675502640944</v>
      </c>
      <c r="H7" s="6" t="s">
        <v>10</v>
      </c>
      <c r="I7" s="7">
        <f t="shared" ref="I7:M7" ca="1" si="3">MEDIAN(B2:B101)</f>
        <v>17.376223656442761</v>
      </c>
      <c r="J7" s="7">
        <f t="shared" ca="1" si="3"/>
        <v>94.300460732666579</v>
      </c>
      <c r="K7" s="7">
        <f t="shared" ca="1" si="3"/>
        <v>98.548207889738393</v>
      </c>
      <c r="L7" s="7">
        <f t="shared" ca="1" si="3"/>
        <v>89.296428298629138</v>
      </c>
      <c r="M7" s="7">
        <f t="shared" ca="1" si="3"/>
        <v>99.21740572456909</v>
      </c>
    </row>
    <row r="8" spans="1:13">
      <c r="A8" s="18">
        <v>7</v>
      </c>
      <c r="B8" s="19">
        <f ca="1">MAX(NORMINV(RAND(),'Collected Data'!I$4,'Collected Data'!I$5),0)</f>
        <v>23.665285032984286</v>
      </c>
      <c r="C8" s="19">
        <f ca="1">MAX(NORMINV(RAND(),'Collected Data'!J$4,'Collected Data'!J$5),0)</f>
        <v>81.051909557782167</v>
      </c>
      <c r="D8" s="19">
        <f ca="1">MAX(NORMINV(RAND(),'Collected Data'!K$4,'Collected Data'!K$5),0)</f>
        <v>68.755917948903814</v>
      </c>
      <c r="E8" s="19">
        <f ca="1">MAX(NORMINV(RAND(),'Collected Data'!L$4,'Collected Data'!L$5),0)</f>
        <v>92.346955080555588</v>
      </c>
      <c r="F8" s="19">
        <f ca="1">MAX(NORMINV(RAND(),'Collected Data'!M$4,'Collected Data'!M$5),0)</f>
        <v>152.25361438489307</v>
      </c>
      <c r="H8" s="6" t="s">
        <v>11</v>
      </c>
      <c r="I8" s="7">
        <f t="shared" ref="I8:M8" ca="1" si="4">PERCENTILE(B2:B101,0.75)</f>
        <v>23.368736450042789</v>
      </c>
      <c r="J8" s="7">
        <f t="shared" ca="1" si="4"/>
        <v>120.7686332426577</v>
      </c>
      <c r="K8" s="7">
        <f t="shared" ca="1" si="4"/>
        <v>141.36716199958542</v>
      </c>
      <c r="L8" s="7">
        <f t="shared" ca="1" si="4"/>
        <v>118.82346952190639</v>
      </c>
      <c r="M8" s="7">
        <f t="shared" ca="1" si="4"/>
        <v>123.98236416123387</v>
      </c>
    </row>
    <row r="9" spans="1:13">
      <c r="A9" s="18">
        <v>8</v>
      </c>
      <c r="B9" s="19">
        <f ca="1">MAX(NORMINV(RAND(),'Collected Data'!I$4,'Collected Data'!I$5),0)</f>
        <v>1.0318252354746953</v>
      </c>
      <c r="C9" s="19">
        <f ca="1">MAX(NORMINV(RAND(),'Collected Data'!J$4,'Collected Data'!J$5),0)</f>
        <v>135.03871852797892</v>
      </c>
      <c r="D9" s="19">
        <f ca="1">MAX(NORMINV(RAND(),'Collected Data'!K$4,'Collected Data'!K$5),0)</f>
        <v>152.79514964423535</v>
      </c>
      <c r="E9" s="19">
        <f ca="1">MAX(NORMINV(RAND(),'Collected Data'!L$4,'Collected Data'!L$5),0)</f>
        <v>109.03437005288598</v>
      </c>
      <c r="F9" s="19">
        <f ca="1">MAX(NORMINV(RAND(),'Collected Data'!M$4,'Collected Data'!M$5),0)</f>
        <v>85.529282249125785</v>
      </c>
      <c r="H9" s="6" t="s">
        <v>12</v>
      </c>
      <c r="I9" s="7">
        <f t="shared" ref="I9:M9" ca="1" si="5">I8-I6</f>
        <v>11.300522368033221</v>
      </c>
      <c r="J9" s="7">
        <f t="shared" ca="1" si="5"/>
        <v>47.671989463575926</v>
      </c>
      <c r="K9" s="7">
        <f t="shared" ca="1" si="5"/>
        <v>68.768084351079409</v>
      </c>
      <c r="L9" s="7">
        <f t="shared" ca="1" si="5"/>
        <v>60.472284357139515</v>
      </c>
      <c r="M9" s="7">
        <f t="shared" ca="1" si="5"/>
        <v>58.811472844862863</v>
      </c>
    </row>
    <row r="10" spans="1:13">
      <c r="A10" s="18">
        <v>9</v>
      </c>
      <c r="B10" s="19">
        <f ca="1">MAX(NORMINV(RAND(),'Collected Data'!I$4,'Collected Data'!I$5),0)</f>
        <v>27.320559916362875</v>
      </c>
      <c r="C10" s="19">
        <f ca="1">MAX(NORMINV(RAND(),'Collected Data'!J$4,'Collected Data'!J$5),0)</f>
        <v>140.1320141868577</v>
      </c>
      <c r="D10" s="19">
        <f ca="1">MAX(NORMINV(RAND(),'Collected Data'!K$4,'Collected Data'!K$5),0)</f>
        <v>58.803807551111205</v>
      </c>
      <c r="E10" s="19">
        <f ca="1">MAX(NORMINV(RAND(),'Collected Data'!L$4,'Collected Data'!L$5),0)</f>
        <v>144.48714967375602</v>
      </c>
      <c r="F10" s="19">
        <f ca="1">MAX(NORMINV(RAND(),'Collected Data'!M$4,'Collected Data'!M$5),0)</f>
        <v>121.85421105479607</v>
      </c>
      <c r="H10" s="6" t="s">
        <v>13</v>
      </c>
      <c r="I10" s="7">
        <f t="shared" ref="I10:M10" ca="1" si="6">MIN(B2:B101)</f>
        <v>0</v>
      </c>
      <c r="J10" s="7">
        <f t="shared" ca="1" si="6"/>
        <v>11.980238887117835</v>
      </c>
      <c r="K10" s="7">
        <f t="shared" ca="1" si="6"/>
        <v>0</v>
      </c>
      <c r="L10" s="7">
        <f t="shared" ca="1" si="6"/>
        <v>0</v>
      </c>
      <c r="M10" s="7">
        <f t="shared" ca="1" si="6"/>
        <v>0</v>
      </c>
    </row>
    <row r="11" spans="1:13">
      <c r="A11" s="18">
        <v>10</v>
      </c>
      <c r="B11" s="19">
        <f ca="1">MAX(NORMINV(RAND(),'Collected Data'!I$4,'Collected Data'!I$5),0)</f>
        <v>6.0000647071969961</v>
      </c>
      <c r="C11" s="19">
        <f ca="1">MAX(NORMINV(RAND(),'Collected Data'!J$4,'Collected Data'!J$5),0)</f>
        <v>98.877235014268138</v>
      </c>
      <c r="D11" s="19">
        <f ca="1">MAX(NORMINV(RAND(),'Collected Data'!K$4,'Collected Data'!K$5),0)</f>
        <v>148.02918482365712</v>
      </c>
      <c r="E11" s="19">
        <f ca="1">MAX(NORMINV(RAND(),'Collected Data'!L$4,'Collected Data'!L$5),0)</f>
        <v>17.157679491547214</v>
      </c>
      <c r="F11" s="19">
        <f ca="1">MAX(NORMINV(RAND(),'Collected Data'!M$4,'Collected Data'!M$5),0)</f>
        <v>159.32474259796015</v>
      </c>
      <c r="H11" s="6" t="s">
        <v>14</v>
      </c>
      <c r="I11" s="7">
        <f t="shared" ref="I11:M11" ca="1" si="7">MAX(B2:B101)</f>
        <v>35.300301558212944</v>
      </c>
      <c r="J11" s="7">
        <f t="shared" ca="1" si="7"/>
        <v>186.75368169449996</v>
      </c>
      <c r="K11" s="7">
        <f t="shared" ca="1" si="7"/>
        <v>238.77016388743215</v>
      </c>
      <c r="L11" s="7">
        <f t="shared" ca="1" si="7"/>
        <v>183.12683533447608</v>
      </c>
      <c r="M11" s="7">
        <f t="shared" ca="1" si="7"/>
        <v>221.02716616717217</v>
      </c>
    </row>
    <row r="12" spans="1:13">
      <c r="A12" s="18">
        <v>11</v>
      </c>
      <c r="B12" s="19">
        <f ca="1">MAX(NORMINV(RAND(),'Collected Data'!I$4,'Collected Data'!I$5),0)</f>
        <v>13.469494703633318</v>
      </c>
      <c r="C12" s="19">
        <f ca="1">MAX(NORMINV(RAND(),'Collected Data'!J$4,'Collected Data'!J$5),0)</f>
        <v>114.53242947725839</v>
      </c>
      <c r="D12" s="19">
        <f ca="1">MAX(NORMINV(RAND(),'Collected Data'!K$4,'Collected Data'!K$5),0)</f>
        <v>94.621390169327412</v>
      </c>
      <c r="E12" s="19">
        <f ca="1">MAX(NORMINV(RAND(),'Collected Data'!L$4,'Collected Data'!L$5),0)</f>
        <v>75.617241684680621</v>
      </c>
      <c r="F12" s="19">
        <f ca="1">MAX(NORMINV(RAND(),'Collected Data'!M$4,'Collected Data'!M$5),0)</f>
        <v>3.8627348761017402</v>
      </c>
      <c r="H12" s="6" t="s">
        <v>15</v>
      </c>
      <c r="I12" s="7">
        <f t="shared" ref="I12:M12" ca="1" si="8">VAR(B2:B101)</f>
        <v>68.808741975073687</v>
      </c>
      <c r="J12" s="7">
        <f t="shared" ca="1" si="8"/>
        <v>1107.089829111326</v>
      </c>
      <c r="K12" s="7">
        <f t="shared" ca="1" si="8"/>
        <v>2725.0345316275748</v>
      </c>
      <c r="L12" s="7">
        <f t="shared" ca="1" si="8"/>
        <v>1929.1775782302568</v>
      </c>
      <c r="M12" s="7">
        <f t="shared" ca="1" si="8"/>
        <v>1904.4693060652353</v>
      </c>
    </row>
    <row r="13" spans="1:13">
      <c r="A13" s="18">
        <v>12</v>
      </c>
      <c r="B13" s="19">
        <f ca="1">MAX(NORMINV(RAND(),'Collected Data'!I$4,'Collected Data'!I$5),0)</f>
        <v>15.377267115038801</v>
      </c>
      <c r="C13" s="19">
        <f ca="1">MAX(NORMINV(RAND(),'Collected Data'!J$4,'Collected Data'!J$5),0)</f>
        <v>82.836055706969063</v>
      </c>
      <c r="D13" s="19">
        <f ca="1">MAX(NORMINV(RAND(),'Collected Data'!K$4,'Collected Data'!K$5),0)</f>
        <v>101.00595135184571</v>
      </c>
      <c r="E13" s="19">
        <f ca="1">MAX(NORMINV(RAND(),'Collected Data'!L$4,'Collected Data'!L$5),0)</f>
        <v>157.823339008951</v>
      </c>
      <c r="F13" s="19">
        <f ca="1">MAX(NORMINV(RAND(),'Collected Data'!M$4,'Collected Data'!M$5),0)</f>
        <v>55.685620495933861</v>
      </c>
    </row>
    <row r="14" spans="1:13">
      <c r="A14" s="18">
        <v>13</v>
      </c>
      <c r="B14" s="19">
        <f ca="1">MAX(NORMINV(RAND(),'Collected Data'!I$4,'Collected Data'!I$5),0)</f>
        <v>3.2724724126730038</v>
      </c>
      <c r="C14" s="19">
        <f ca="1">MAX(NORMINV(RAND(),'Collected Data'!J$4,'Collected Data'!J$5),0)</f>
        <v>93.124113193503177</v>
      </c>
      <c r="D14" s="19">
        <f ca="1">MAX(NORMINV(RAND(),'Collected Data'!K$4,'Collected Data'!K$5),0)</f>
        <v>107.64391449949652</v>
      </c>
      <c r="E14" s="19">
        <f ca="1">MAX(NORMINV(RAND(),'Collected Data'!L$4,'Collected Data'!L$5),0)</f>
        <v>56.443403063621744</v>
      </c>
      <c r="F14" s="19">
        <f ca="1">MAX(NORMINV(RAND(),'Collected Data'!M$4,'Collected Data'!M$5),0)</f>
        <v>10.807712819450785</v>
      </c>
      <c r="I14" s="1"/>
      <c r="J14" s="1" t="s">
        <v>2</v>
      </c>
      <c r="K14" s="1" t="s">
        <v>3</v>
      </c>
      <c r="L14" s="1" t="s">
        <v>4</v>
      </c>
      <c r="M14" s="1" t="s">
        <v>5</v>
      </c>
    </row>
    <row r="15" spans="1:13">
      <c r="A15" s="18">
        <v>14</v>
      </c>
      <c r="B15" s="19">
        <f ca="1">MAX(NORMINV(RAND(),'Collected Data'!I$4,'Collected Data'!I$5),0)</f>
        <v>16.459338965043628</v>
      </c>
      <c r="C15" s="19">
        <f ca="1">MAX(NORMINV(RAND(),'Collected Data'!J$4,'Collected Data'!J$5),0)</f>
        <v>70.733160636563966</v>
      </c>
      <c r="D15" s="19">
        <f ca="1">MAX(NORMINV(RAND(),'Collected Data'!K$4,'Collected Data'!K$5),0)</f>
        <v>95.628955548394273</v>
      </c>
      <c r="E15" s="19">
        <f ca="1">MAX(NORMINV(RAND(),'Collected Data'!L$4,'Collected Data'!L$5),0)</f>
        <v>109.81583121729619</v>
      </c>
      <c r="F15" s="19">
        <f ca="1">MAX(NORMINV(RAND(),'Collected Data'!M$4,'Collected Data'!M$5),0)</f>
        <v>91.338506462792395</v>
      </c>
      <c r="H15" s="6" t="s">
        <v>28</v>
      </c>
      <c r="I15" s="7"/>
      <c r="J15" s="7">
        <f t="shared" ref="J15:M15" ca="1" si="9">AVERAGE($B$2:$B$101)</f>
        <v>17.095911403428889</v>
      </c>
      <c r="K15" s="7">
        <f t="shared" ca="1" si="9"/>
        <v>17.095911403428889</v>
      </c>
      <c r="L15" s="7">
        <f t="shared" ca="1" si="9"/>
        <v>17.095911403428889</v>
      </c>
      <c r="M15" s="7">
        <f t="shared" ca="1" si="9"/>
        <v>17.095911403428889</v>
      </c>
    </row>
    <row r="16" spans="1:13">
      <c r="A16" s="18">
        <v>15</v>
      </c>
      <c r="B16" s="19">
        <f ca="1">MAX(NORMINV(RAND(),'Collected Data'!I$4,'Collected Data'!I$5),0)</f>
        <v>3.6097852550748364</v>
      </c>
      <c r="C16" s="19">
        <f ca="1">MAX(NORMINV(RAND(),'Collected Data'!J$4,'Collected Data'!J$5),0)</f>
        <v>75.195779463141008</v>
      </c>
      <c r="D16" s="19">
        <f ca="1">MAX(NORMINV(RAND(),'Collected Data'!K$4,'Collected Data'!K$5),0)</f>
        <v>88.501293379594188</v>
      </c>
      <c r="E16" s="19">
        <f ca="1">MAX(NORMINV(RAND(),'Collected Data'!L$4,'Collected Data'!L$5),0)</f>
        <v>44.511739580171735</v>
      </c>
      <c r="F16" s="19">
        <f ca="1">MAX(NORMINV(RAND(),'Collected Data'!M$4,'Collected Data'!M$5),0)</f>
        <v>86.444649039318477</v>
      </c>
      <c r="H16" s="6" t="s">
        <v>29</v>
      </c>
      <c r="I16" s="18"/>
      <c r="J16" s="7">
        <f t="shared" ref="J16:M16" ca="1" si="10">J17-J15</f>
        <v>78.452117743966397</v>
      </c>
      <c r="K16" s="7">
        <f t="shared" ca="1" si="10"/>
        <v>87.338239886419615</v>
      </c>
      <c r="L16" s="7">
        <f t="shared" ca="1" si="10"/>
        <v>71.107051903160311</v>
      </c>
      <c r="M16" s="7">
        <f t="shared" ca="1" si="10"/>
        <v>78.902541980823472</v>
      </c>
    </row>
    <row r="17" spans="1:13">
      <c r="A17" s="18">
        <v>16</v>
      </c>
      <c r="B17" s="19">
        <f ca="1">MAX(NORMINV(RAND(),'Collected Data'!I$4,'Collected Data'!I$5),0)</f>
        <v>16.271340229428258</v>
      </c>
      <c r="C17" s="19">
        <f ca="1">MAX(NORMINV(RAND(),'Collected Data'!J$4,'Collected Data'!J$5),0)</f>
        <v>64.678179153695751</v>
      </c>
      <c r="D17" s="19">
        <f ca="1">MAX(NORMINV(RAND(),'Collected Data'!K$4,'Collected Data'!K$5),0)</f>
        <v>109.71476481895797</v>
      </c>
      <c r="E17" s="19">
        <f ca="1">MAX(NORMINV(RAND(),'Collected Data'!L$4,'Collected Data'!L$5),0)</f>
        <v>35.166021428383388</v>
      </c>
      <c r="F17" s="19">
        <f ca="1">MAX(NORMINV(RAND(),'Collected Data'!M$4,'Collected Data'!M$5),0)</f>
        <v>20.284975694553992</v>
      </c>
      <c r="H17" s="6" t="s">
        <v>7</v>
      </c>
      <c r="I17" s="7"/>
      <c r="J17" s="7">
        <f t="shared" ref="J17:M17" ca="1" si="11">AVERAGE(C2:C101)</f>
        <v>95.548029147395283</v>
      </c>
      <c r="K17" s="7">
        <f t="shared" ca="1" si="11"/>
        <v>104.4341512898485</v>
      </c>
      <c r="L17" s="7">
        <f t="shared" ca="1" si="11"/>
        <v>88.202963306589197</v>
      </c>
      <c r="M17" s="7">
        <f t="shared" ca="1" si="11"/>
        <v>95.998453384252358</v>
      </c>
    </row>
    <row r="18" spans="1:13">
      <c r="A18" s="18">
        <v>17</v>
      </c>
      <c r="B18" s="19">
        <f ca="1">MAX(NORMINV(RAND(),'Collected Data'!I$4,'Collected Data'!I$5),0)</f>
        <v>21.984667088644656</v>
      </c>
      <c r="C18" s="19">
        <f ca="1">MAX(NORMINV(RAND(),'Collected Data'!J$4,'Collected Data'!J$5),0)</f>
        <v>76.798885216815037</v>
      </c>
      <c r="D18" s="19">
        <f ca="1">MAX(NORMINV(RAND(),'Collected Data'!K$4,'Collected Data'!K$5),0)</f>
        <v>120.77979619223143</v>
      </c>
      <c r="E18" s="19">
        <f ca="1">MAX(NORMINV(RAND(),'Collected Data'!L$4,'Collected Data'!L$5),0)</f>
        <v>86.945751851055732</v>
      </c>
      <c r="F18" s="19">
        <f ca="1">MAX(NORMINV(RAND(),'Collected Data'!M$4,'Collected Data'!M$5),0)</f>
        <v>141.05888749147499</v>
      </c>
    </row>
    <row r="19" spans="1:13">
      <c r="A19" s="18">
        <v>18</v>
      </c>
      <c r="B19" s="19">
        <f ca="1">MAX(NORMINV(RAND(),'Collected Data'!I$4,'Collected Data'!I$5),0)</f>
        <v>25.098491823672408</v>
      </c>
      <c r="C19" s="19">
        <f ca="1">MAX(NORMINV(RAND(),'Collected Data'!J$4,'Collected Data'!J$5),0)</f>
        <v>113.04795310074608</v>
      </c>
      <c r="D19" s="19">
        <f ca="1">MAX(NORMINV(RAND(),'Collected Data'!K$4,'Collected Data'!K$5),0)</f>
        <v>57.571975959806736</v>
      </c>
      <c r="E19" s="19">
        <f ca="1">MAX(NORMINV(RAND(),'Collected Data'!L$4,'Collected Data'!L$5),0)</f>
        <v>8.5911700576637315</v>
      </c>
      <c r="F19" s="19">
        <f ca="1">MAX(NORMINV(RAND(),'Collected Data'!M$4,'Collected Data'!M$5),0)</f>
        <v>58.393770778565788</v>
      </c>
    </row>
    <row r="20" spans="1:13">
      <c r="A20" s="18">
        <v>19</v>
      </c>
      <c r="B20" s="19">
        <f ca="1">MAX(NORMINV(RAND(),'Collected Data'!I$4,'Collected Data'!I$5),0)</f>
        <v>14.726513606267766</v>
      </c>
      <c r="C20" s="19">
        <f ca="1">MAX(NORMINV(RAND(),'Collected Data'!J$4,'Collected Data'!J$5),0)</f>
        <v>113.51799065469518</v>
      </c>
      <c r="D20" s="19">
        <f ca="1">MAX(NORMINV(RAND(),'Collected Data'!K$4,'Collected Data'!K$5),0)</f>
        <v>0</v>
      </c>
      <c r="E20" s="19">
        <f ca="1">MAX(NORMINV(RAND(),'Collected Data'!L$4,'Collected Data'!L$5),0)</f>
        <v>45.587271842047208</v>
      </c>
      <c r="F20" s="19">
        <f ca="1">MAX(NORMINV(RAND(),'Collected Data'!M$4,'Collected Data'!M$5),0)</f>
        <v>52.266464929251306</v>
      </c>
    </row>
    <row r="21" spans="1:13">
      <c r="A21" s="18">
        <v>20</v>
      </c>
      <c r="B21" s="19">
        <f ca="1">MAX(NORMINV(RAND(),'Collected Data'!I$4,'Collected Data'!I$5),0)</f>
        <v>27.054089881951178</v>
      </c>
      <c r="C21" s="19">
        <f ca="1">MAX(NORMINV(RAND(),'Collected Data'!J$4,'Collected Data'!J$5),0)</f>
        <v>113.72566984965582</v>
      </c>
      <c r="D21" s="19">
        <f ca="1">MAX(NORMINV(RAND(),'Collected Data'!K$4,'Collected Data'!K$5),0)</f>
        <v>60.588325026743014</v>
      </c>
      <c r="E21" s="19">
        <f ca="1">MAX(NORMINV(RAND(),'Collected Data'!L$4,'Collected Data'!L$5),0)</f>
        <v>115.79523835989917</v>
      </c>
      <c r="F21" s="19">
        <f ca="1">MAX(NORMINV(RAND(),'Collected Data'!M$4,'Collected Data'!M$5),0)</f>
        <v>73.385183786845801</v>
      </c>
    </row>
    <row r="22" spans="1:13">
      <c r="A22" s="18">
        <v>21</v>
      </c>
      <c r="B22" s="19">
        <f ca="1">MAX(NORMINV(RAND(),'Collected Data'!I$4,'Collected Data'!I$5),0)</f>
        <v>17.474617399818381</v>
      </c>
      <c r="C22" s="19">
        <f ca="1">MAX(NORMINV(RAND(),'Collected Data'!J$4,'Collected Data'!J$5),0)</f>
        <v>73.032325769523453</v>
      </c>
      <c r="D22" s="19">
        <f ca="1">MAX(NORMINV(RAND(),'Collected Data'!K$4,'Collected Data'!K$5),0)</f>
        <v>108.93709089532557</v>
      </c>
      <c r="E22" s="19">
        <f ca="1">MAX(NORMINV(RAND(),'Collected Data'!L$4,'Collected Data'!L$5),0)</f>
        <v>164.37233454105785</v>
      </c>
      <c r="F22" s="19">
        <f ca="1">MAX(NORMINV(RAND(),'Collected Data'!M$4,'Collected Data'!M$5),0)</f>
        <v>87.000798482636341</v>
      </c>
    </row>
    <row r="23" spans="1:13">
      <c r="A23" s="18">
        <v>22</v>
      </c>
      <c r="B23" s="19">
        <f ca="1">MAX(NORMINV(RAND(),'Collected Data'!I$4,'Collected Data'!I$5),0)</f>
        <v>35.226052765157917</v>
      </c>
      <c r="C23" s="19">
        <f ca="1">MAX(NORMINV(RAND(),'Collected Data'!J$4,'Collected Data'!J$5),0)</f>
        <v>138.47767351020457</v>
      </c>
      <c r="D23" s="19">
        <f ca="1">MAX(NORMINV(RAND(),'Collected Data'!K$4,'Collected Data'!K$5),0)</f>
        <v>154.71374492903703</v>
      </c>
      <c r="E23" s="19">
        <f ca="1">MAX(NORMINV(RAND(),'Collected Data'!L$4,'Collected Data'!L$5),0)</f>
        <v>71.354802422645207</v>
      </c>
      <c r="F23" s="19">
        <f ca="1">MAX(NORMINV(RAND(),'Collected Data'!M$4,'Collected Data'!M$5),0)</f>
        <v>57.193367549052937</v>
      </c>
    </row>
    <row r="24" spans="1:13">
      <c r="A24" s="18">
        <v>23</v>
      </c>
      <c r="B24" s="19">
        <f ca="1">MAX(NORMINV(RAND(),'Collected Data'!I$4,'Collected Data'!I$5),0)</f>
        <v>28.928828091136708</v>
      </c>
      <c r="C24" s="19">
        <f ca="1">MAX(NORMINV(RAND(),'Collected Data'!J$4,'Collected Data'!J$5),0)</f>
        <v>64.450507006156869</v>
      </c>
      <c r="D24" s="19">
        <f ca="1">MAX(NORMINV(RAND(),'Collected Data'!K$4,'Collected Data'!K$5),0)</f>
        <v>107.80165304621899</v>
      </c>
      <c r="E24" s="19">
        <f ca="1">MAX(NORMINV(RAND(),'Collected Data'!L$4,'Collected Data'!L$5),0)</f>
        <v>82.156141970383601</v>
      </c>
      <c r="F24" s="19">
        <f ca="1">MAX(NORMINV(RAND(),'Collected Data'!M$4,'Collected Data'!M$5),0)</f>
        <v>112.58731022080043</v>
      </c>
    </row>
    <row r="25" spans="1:13">
      <c r="A25" s="18">
        <v>24</v>
      </c>
      <c r="B25" s="19">
        <f ca="1">MAX(NORMINV(RAND(),'Collected Data'!I$4,'Collected Data'!I$5),0)</f>
        <v>33.373360718034355</v>
      </c>
      <c r="C25" s="19">
        <f ca="1">MAX(NORMINV(RAND(),'Collected Data'!J$4,'Collected Data'!J$5),0)</f>
        <v>61.575201888259564</v>
      </c>
      <c r="D25" s="19">
        <f ca="1">MAX(NORMINV(RAND(),'Collected Data'!K$4,'Collected Data'!K$5),0)</f>
        <v>160.0584173761824</v>
      </c>
      <c r="E25" s="19">
        <f ca="1">MAX(NORMINV(RAND(),'Collected Data'!L$4,'Collected Data'!L$5),0)</f>
        <v>146.41369159354485</v>
      </c>
      <c r="F25" s="19">
        <f ca="1">MAX(NORMINV(RAND(),'Collected Data'!M$4,'Collected Data'!M$5),0)</f>
        <v>118.2412390160451</v>
      </c>
    </row>
    <row r="26" spans="1:13">
      <c r="A26" s="18">
        <v>25</v>
      </c>
      <c r="B26" s="19">
        <f ca="1">MAX(NORMINV(RAND(),'Collected Data'!I$4,'Collected Data'!I$5),0)</f>
        <v>5.9875711358151573</v>
      </c>
      <c r="C26" s="19">
        <f ca="1">MAX(NORMINV(RAND(),'Collected Data'!J$4,'Collected Data'!J$5),0)</f>
        <v>100.8413208370757</v>
      </c>
      <c r="D26" s="19">
        <f ca="1">MAX(NORMINV(RAND(),'Collected Data'!K$4,'Collected Data'!K$5),0)</f>
        <v>204.75669947995533</v>
      </c>
      <c r="E26" s="19">
        <f ca="1">MAX(NORMINV(RAND(),'Collected Data'!L$4,'Collected Data'!L$5),0)</f>
        <v>114.339426010598</v>
      </c>
      <c r="F26" s="19">
        <f ca="1">MAX(NORMINV(RAND(),'Collected Data'!M$4,'Collected Data'!M$5),0)</f>
        <v>47.153744305033989</v>
      </c>
    </row>
    <row r="27" spans="1:13">
      <c r="A27" s="18">
        <v>26</v>
      </c>
      <c r="B27" s="19">
        <f ca="1">MAX(NORMINV(RAND(),'Collected Data'!I$4,'Collected Data'!I$5),0)</f>
        <v>17.353837341857577</v>
      </c>
      <c r="C27" s="19">
        <f ca="1">MAX(NORMINV(RAND(),'Collected Data'!J$4,'Collected Data'!J$5),0)</f>
        <v>104.72691854731053</v>
      </c>
      <c r="D27" s="19">
        <f ca="1">MAX(NORMINV(RAND(),'Collected Data'!K$4,'Collected Data'!K$5),0)</f>
        <v>161.61187862044397</v>
      </c>
      <c r="E27" s="19">
        <f ca="1">MAX(NORMINV(RAND(),'Collected Data'!L$4,'Collected Data'!L$5),0)</f>
        <v>128.11998012378683</v>
      </c>
      <c r="F27" s="19">
        <f ca="1">MAX(NORMINV(RAND(),'Collected Data'!M$4,'Collected Data'!M$5),0)</f>
        <v>102.35662448203058</v>
      </c>
    </row>
    <row r="28" spans="1:13">
      <c r="A28" s="18">
        <v>27</v>
      </c>
      <c r="B28" s="19">
        <f ca="1">MAX(NORMINV(RAND(),'Collected Data'!I$4,'Collected Data'!I$5),0)</f>
        <v>9.9039691214317322</v>
      </c>
      <c r="C28" s="19">
        <f ca="1">MAX(NORMINV(RAND(),'Collected Data'!J$4,'Collected Data'!J$5),0)</f>
        <v>76.681146566293606</v>
      </c>
      <c r="D28" s="19">
        <f ca="1">MAX(NORMINV(RAND(),'Collected Data'!K$4,'Collected Data'!K$5),0)</f>
        <v>94.518048999166766</v>
      </c>
      <c r="E28" s="19">
        <f ca="1">MAX(NORMINV(RAND(),'Collected Data'!L$4,'Collected Data'!L$5),0)</f>
        <v>3.7953750552226353</v>
      </c>
      <c r="F28" s="19">
        <f ca="1">MAX(NORMINV(RAND(),'Collected Data'!M$4,'Collected Data'!M$5),0)</f>
        <v>126.5349897113835</v>
      </c>
    </row>
    <row r="29" spans="1:13">
      <c r="A29" s="18">
        <v>28</v>
      </c>
      <c r="B29" s="19">
        <f ca="1">MAX(NORMINV(RAND(),'Collected Data'!I$4,'Collected Data'!I$5),0)</f>
        <v>13.594010995577188</v>
      </c>
      <c r="C29" s="19">
        <f ca="1">MAX(NORMINV(RAND(),'Collected Data'!J$4,'Collected Data'!J$5),0)</f>
        <v>94.283089277218266</v>
      </c>
      <c r="D29" s="19">
        <f ca="1">MAX(NORMINV(RAND(),'Collected Data'!K$4,'Collected Data'!K$5),0)</f>
        <v>20.151239642830774</v>
      </c>
      <c r="E29" s="19">
        <f ca="1">MAX(NORMINV(RAND(),'Collected Data'!L$4,'Collected Data'!L$5),0)</f>
        <v>97.683512810955392</v>
      </c>
      <c r="F29" s="19">
        <f ca="1">MAX(NORMINV(RAND(),'Collected Data'!M$4,'Collected Data'!M$5),0)</f>
        <v>128.23354013037181</v>
      </c>
    </row>
    <row r="30" spans="1:13">
      <c r="A30" s="18">
        <v>29</v>
      </c>
      <c r="B30" s="19">
        <f ca="1">MAX(NORMINV(RAND(),'Collected Data'!I$4,'Collected Data'!I$5),0)</f>
        <v>17.398609971027945</v>
      </c>
      <c r="C30" s="19">
        <f ca="1">MAX(NORMINV(RAND(),'Collected Data'!J$4,'Collected Data'!J$5),0)</f>
        <v>68.081481352222767</v>
      </c>
      <c r="D30" s="19">
        <f ca="1">MAX(NORMINV(RAND(),'Collected Data'!K$4,'Collected Data'!K$5),0)</f>
        <v>65.806010586365574</v>
      </c>
      <c r="E30" s="19">
        <f ca="1">MAX(NORMINV(RAND(),'Collected Data'!L$4,'Collected Data'!L$5),0)</f>
        <v>81.842911206340474</v>
      </c>
      <c r="F30" s="19">
        <f ca="1">MAX(NORMINV(RAND(),'Collected Data'!M$4,'Collected Data'!M$5),0)</f>
        <v>147.22145209793106</v>
      </c>
    </row>
    <row r="31" spans="1:13">
      <c r="A31" s="18">
        <v>30</v>
      </c>
      <c r="B31" s="19">
        <f ca="1">MAX(NORMINV(RAND(),'Collected Data'!I$4,'Collected Data'!I$5),0)</f>
        <v>24.405427456910161</v>
      </c>
      <c r="C31" s="19">
        <f ca="1">MAX(NORMINV(RAND(),'Collected Data'!J$4,'Collected Data'!J$5),0)</f>
        <v>72.911358846775883</v>
      </c>
      <c r="D31" s="19">
        <f ca="1">MAX(NORMINV(RAND(),'Collected Data'!K$4,'Collected Data'!K$5),0)</f>
        <v>175.81631060404317</v>
      </c>
      <c r="E31" s="19">
        <f ca="1">MAX(NORMINV(RAND(),'Collected Data'!L$4,'Collected Data'!L$5),0)</f>
        <v>126.65253769364142</v>
      </c>
      <c r="F31" s="19">
        <f ca="1">MAX(NORMINV(RAND(),'Collected Data'!M$4,'Collected Data'!M$5),0)</f>
        <v>129.14720087589808</v>
      </c>
    </row>
    <row r="32" spans="1:13">
      <c r="A32" s="18">
        <v>31</v>
      </c>
      <c r="B32" s="19">
        <f ca="1">MAX(NORMINV(RAND(),'Collected Data'!I$4,'Collected Data'!I$5),0)</f>
        <v>24.247726804945138</v>
      </c>
      <c r="C32" s="19">
        <f ca="1">MAX(NORMINV(RAND(),'Collected Data'!J$4,'Collected Data'!J$5),0)</f>
        <v>109.49972914081397</v>
      </c>
      <c r="D32" s="19">
        <f ca="1">MAX(NORMINV(RAND(),'Collected Data'!K$4,'Collected Data'!K$5),0)</f>
        <v>112.46378291387639</v>
      </c>
      <c r="E32" s="19">
        <f ca="1">MAX(NORMINV(RAND(),'Collected Data'!L$4,'Collected Data'!L$5),0)</f>
        <v>47.897322162043118</v>
      </c>
      <c r="F32" s="19">
        <f ca="1">MAX(NORMINV(RAND(),'Collected Data'!M$4,'Collected Data'!M$5),0)</f>
        <v>114.40351739604314</v>
      </c>
    </row>
    <row r="33" spans="1:6">
      <c r="A33" s="18">
        <v>32</v>
      </c>
      <c r="B33" s="19">
        <f ca="1">MAX(NORMINV(RAND(),'Collected Data'!I$4,'Collected Data'!I$5),0)</f>
        <v>13.00530100691233</v>
      </c>
      <c r="C33" s="19">
        <f ca="1">MAX(NORMINV(RAND(),'Collected Data'!J$4,'Collected Data'!J$5),0)</f>
        <v>133.47889235363328</v>
      </c>
      <c r="D33" s="19">
        <f ca="1">MAX(NORMINV(RAND(),'Collected Data'!K$4,'Collected Data'!K$5),0)</f>
        <v>165.14582179423468</v>
      </c>
      <c r="E33" s="19">
        <f ca="1">MAX(NORMINV(RAND(),'Collected Data'!L$4,'Collected Data'!L$5),0)</f>
        <v>89.95670974625807</v>
      </c>
      <c r="F33" s="19">
        <f ca="1">MAX(NORMINV(RAND(),'Collected Data'!M$4,'Collected Data'!M$5),0)</f>
        <v>60.897599607617977</v>
      </c>
    </row>
    <row r="34" spans="1:6">
      <c r="A34" s="18">
        <v>33</v>
      </c>
      <c r="B34" s="19">
        <f ca="1">MAX(NORMINV(RAND(),'Collected Data'!I$4,'Collected Data'!I$5),0)</f>
        <v>25.049577776091617</v>
      </c>
      <c r="C34" s="19">
        <f ca="1">MAX(NORMINV(RAND(),'Collected Data'!J$4,'Collected Data'!J$5),0)</f>
        <v>83.297890750797521</v>
      </c>
      <c r="D34" s="19">
        <f ca="1">MAX(NORMINV(RAND(),'Collected Data'!K$4,'Collected Data'!K$5),0)</f>
        <v>76.93877855393427</v>
      </c>
      <c r="E34" s="19">
        <f ca="1">MAX(NORMINV(RAND(),'Collected Data'!L$4,'Collected Data'!L$5),0)</f>
        <v>123.06723419957692</v>
      </c>
      <c r="F34" s="19">
        <f ca="1">MAX(NORMINV(RAND(),'Collected Data'!M$4,'Collected Data'!M$5),0)</f>
        <v>80.589013428001863</v>
      </c>
    </row>
    <row r="35" spans="1:6">
      <c r="A35" s="18">
        <v>34</v>
      </c>
      <c r="B35" s="19">
        <f ca="1">MAX(NORMINV(RAND(),'Collected Data'!I$4,'Collected Data'!I$5),0)</f>
        <v>21.415824061315249</v>
      </c>
      <c r="C35" s="19">
        <f ca="1">MAX(NORMINV(RAND(),'Collected Data'!J$4,'Collected Data'!J$5),0)</f>
        <v>103.99270391710517</v>
      </c>
      <c r="D35" s="19">
        <f ca="1">MAX(NORMINV(RAND(),'Collected Data'!K$4,'Collected Data'!K$5),0)</f>
        <v>90.857545007935073</v>
      </c>
      <c r="E35" s="19">
        <f ca="1">MAX(NORMINV(RAND(),'Collected Data'!L$4,'Collected Data'!L$5),0)</f>
        <v>0</v>
      </c>
      <c r="F35" s="19">
        <f ca="1">MAX(NORMINV(RAND(),'Collected Data'!M$4,'Collected Data'!M$5),0)</f>
        <v>81.813524087779356</v>
      </c>
    </row>
    <row r="36" spans="1:6">
      <c r="A36" s="18">
        <v>35</v>
      </c>
      <c r="B36" s="19">
        <f ca="1">MAX(NORMINV(RAND(),'Collected Data'!I$4,'Collected Data'!I$5),0)</f>
        <v>21.532330823221713</v>
      </c>
      <c r="C36" s="19">
        <f ca="1">MAX(NORMINV(RAND(),'Collected Data'!J$4,'Collected Data'!J$5),0)</f>
        <v>30.362407424863534</v>
      </c>
      <c r="D36" s="19">
        <f ca="1">MAX(NORMINV(RAND(),'Collected Data'!K$4,'Collected Data'!K$5),0)</f>
        <v>85.354461228854319</v>
      </c>
      <c r="E36" s="19">
        <f ca="1">MAX(NORMINV(RAND(),'Collected Data'!L$4,'Collected Data'!L$5),0)</f>
        <v>104.22014160483266</v>
      </c>
      <c r="F36" s="19">
        <f ca="1">MAX(NORMINV(RAND(),'Collected Data'!M$4,'Collected Data'!M$5),0)</f>
        <v>0</v>
      </c>
    </row>
    <row r="37" spans="1:6">
      <c r="A37" s="18">
        <v>36</v>
      </c>
      <c r="B37" s="19">
        <f ca="1">MAX(NORMINV(RAND(),'Collected Data'!I$4,'Collected Data'!I$5),0)</f>
        <v>21.779505975971919</v>
      </c>
      <c r="C37" s="19">
        <f ca="1">MAX(NORMINV(RAND(),'Collected Data'!J$4,'Collected Data'!J$5),0)</f>
        <v>89.35044829323212</v>
      </c>
      <c r="D37" s="19">
        <f ca="1">MAX(NORMINV(RAND(),'Collected Data'!K$4,'Collected Data'!K$5),0)</f>
        <v>129.15042633003816</v>
      </c>
      <c r="E37" s="19">
        <f ca="1">MAX(NORMINV(RAND(),'Collected Data'!L$4,'Collected Data'!L$5),0)</f>
        <v>88.636146851000206</v>
      </c>
      <c r="F37" s="19">
        <f ca="1">MAX(NORMINV(RAND(),'Collected Data'!M$4,'Collected Data'!M$5),0)</f>
        <v>59.292545345829666</v>
      </c>
    </row>
    <row r="38" spans="1:6">
      <c r="A38" s="18">
        <v>37</v>
      </c>
      <c r="B38" s="19">
        <f ca="1">MAX(NORMINV(RAND(),'Collected Data'!I$4,'Collected Data'!I$5),0)</f>
        <v>12.353665052216792</v>
      </c>
      <c r="C38" s="19">
        <f ca="1">MAX(NORMINV(RAND(),'Collected Data'!J$4,'Collected Data'!J$5),0)</f>
        <v>22.236788995248219</v>
      </c>
      <c r="D38" s="19">
        <f ca="1">MAX(NORMINV(RAND(),'Collected Data'!K$4,'Collected Data'!K$5),0)</f>
        <v>146.86602636750118</v>
      </c>
      <c r="E38" s="19">
        <f ca="1">MAX(NORMINV(RAND(),'Collected Data'!L$4,'Collected Data'!L$5),0)</f>
        <v>183.12683533447608</v>
      </c>
      <c r="F38" s="19">
        <f ca="1">MAX(NORMINV(RAND(),'Collected Data'!M$4,'Collected Data'!M$5),0)</f>
        <v>142.71755915642822</v>
      </c>
    </row>
    <row r="39" spans="1:6">
      <c r="A39" s="18">
        <v>38</v>
      </c>
      <c r="B39" s="19">
        <f ca="1">MAX(NORMINV(RAND(),'Collected Data'!I$4,'Collected Data'!I$5),0)</f>
        <v>22.294978145811481</v>
      </c>
      <c r="C39" s="19">
        <f ca="1">MAX(NORMINV(RAND(),'Collected Data'!J$4,'Collected Data'!J$5),0)</f>
        <v>83.828134652744623</v>
      </c>
      <c r="D39" s="19">
        <f ca="1">MAX(NORMINV(RAND(),'Collected Data'!K$4,'Collected Data'!K$5),0)</f>
        <v>59.57141107115195</v>
      </c>
      <c r="E39" s="19">
        <f ca="1">MAX(NORMINV(RAND(),'Collected Data'!L$4,'Collected Data'!L$5),0)</f>
        <v>92.476637049680491</v>
      </c>
      <c r="F39" s="19">
        <f ca="1">MAX(NORMINV(RAND(),'Collected Data'!M$4,'Collected Data'!M$5),0)</f>
        <v>75.603676784603635</v>
      </c>
    </row>
    <row r="40" spans="1:6">
      <c r="A40" s="18">
        <v>39</v>
      </c>
      <c r="B40" s="19">
        <f ca="1">MAX(NORMINV(RAND(),'Collected Data'!I$4,'Collected Data'!I$5),0)</f>
        <v>17.611372645650786</v>
      </c>
      <c r="C40" s="19">
        <f ca="1">MAX(NORMINV(RAND(),'Collected Data'!J$4,'Collected Data'!J$5),0)</f>
        <v>121.54575066335927</v>
      </c>
      <c r="D40" s="19">
        <f ca="1">MAX(NORMINV(RAND(),'Collected Data'!K$4,'Collected Data'!K$5),0)</f>
        <v>80.469790777970474</v>
      </c>
      <c r="E40" s="19">
        <f ca="1">MAX(NORMINV(RAND(),'Collected Data'!L$4,'Collected Data'!L$5),0)</f>
        <v>62.669598228490287</v>
      </c>
      <c r="F40" s="19">
        <f ca="1">MAX(NORMINV(RAND(),'Collected Data'!M$4,'Collected Data'!M$5),0)</f>
        <v>56.946318737789007</v>
      </c>
    </row>
    <row r="41" spans="1:6">
      <c r="A41" s="18">
        <v>40</v>
      </c>
      <c r="B41" s="19">
        <f ca="1">MAX(NORMINV(RAND(),'Collected Data'!I$4,'Collected Data'!I$5),0)</f>
        <v>25.794941296348743</v>
      </c>
      <c r="C41" s="19">
        <f ca="1">MAX(NORMINV(RAND(),'Collected Data'!J$4,'Collected Data'!J$5),0)</f>
        <v>104.65966373344814</v>
      </c>
      <c r="D41" s="19">
        <f ca="1">MAX(NORMINV(RAND(),'Collected Data'!K$4,'Collected Data'!K$5),0)</f>
        <v>138.0486354310398</v>
      </c>
      <c r="E41" s="19">
        <f ca="1">MAX(NORMINV(RAND(),'Collected Data'!L$4,'Collected Data'!L$5),0)</f>
        <v>105.16619565430778</v>
      </c>
      <c r="F41" s="19">
        <f ca="1">MAX(NORMINV(RAND(),'Collected Data'!M$4,'Collected Data'!M$5),0)</f>
        <v>112.02832296702168</v>
      </c>
    </row>
    <row r="42" spans="1:6">
      <c r="A42" s="18">
        <v>41</v>
      </c>
      <c r="B42" s="19">
        <f ca="1">MAX(NORMINV(RAND(),'Collected Data'!I$4,'Collected Data'!I$5),0)</f>
        <v>9.7717412409798996</v>
      </c>
      <c r="C42" s="19">
        <f ca="1">MAX(NORMINV(RAND(),'Collected Data'!J$4,'Collected Data'!J$5),0)</f>
        <v>73.118083115601223</v>
      </c>
      <c r="D42" s="19">
        <f ca="1">MAX(NORMINV(RAND(),'Collected Data'!K$4,'Collected Data'!K$5),0)</f>
        <v>136.22554793198134</v>
      </c>
      <c r="E42" s="19">
        <f ca="1">MAX(NORMINV(RAND(),'Collected Data'!L$4,'Collected Data'!L$5),0)</f>
        <v>82.191529930893324</v>
      </c>
      <c r="F42" s="19">
        <f ca="1">MAX(NORMINV(RAND(),'Collected Data'!M$4,'Collected Data'!M$5),0)</f>
        <v>138.0355614172563</v>
      </c>
    </row>
    <row r="43" spans="1:6">
      <c r="A43" s="18">
        <v>42</v>
      </c>
      <c r="B43" s="19">
        <f ca="1">MAX(NORMINV(RAND(),'Collected Data'!I$4,'Collected Data'!I$5),0)</f>
        <v>10.028508495876547</v>
      </c>
      <c r="C43" s="19">
        <f ca="1">MAX(NORMINV(RAND(),'Collected Data'!J$4,'Collected Data'!J$5),0)</f>
        <v>44.366344629273534</v>
      </c>
      <c r="D43" s="19">
        <f ca="1">MAX(NORMINV(RAND(),'Collected Data'!K$4,'Collected Data'!K$5),0)</f>
        <v>92.806601523590942</v>
      </c>
      <c r="E43" s="19">
        <f ca="1">MAX(NORMINV(RAND(),'Collected Data'!L$4,'Collected Data'!L$5),0)</f>
        <v>76.18223850243885</v>
      </c>
      <c r="F43" s="19">
        <f ca="1">MAX(NORMINV(RAND(),'Collected Data'!M$4,'Collected Data'!M$5),0)</f>
        <v>28.024716891189136</v>
      </c>
    </row>
    <row r="44" spans="1:6">
      <c r="A44" s="18">
        <v>43</v>
      </c>
      <c r="B44" s="19">
        <f ca="1">MAX(NORMINV(RAND(),'Collected Data'!I$4,'Collected Data'!I$5),0)</f>
        <v>29.536005832842861</v>
      </c>
      <c r="C44" s="19">
        <f ca="1">MAX(NORMINV(RAND(),'Collected Data'!J$4,'Collected Data'!J$5),0)</f>
        <v>68.00387165626563</v>
      </c>
      <c r="D44" s="19">
        <f ca="1">MAX(NORMINV(RAND(),'Collected Data'!K$4,'Collected Data'!K$5),0)</f>
        <v>75.017805955199165</v>
      </c>
      <c r="E44" s="19">
        <f ca="1">MAX(NORMINV(RAND(),'Collected Data'!L$4,'Collected Data'!L$5),0)</f>
        <v>73.955027425907247</v>
      </c>
      <c r="F44" s="19">
        <f ca="1">MAX(NORMINV(RAND(),'Collected Data'!M$4,'Collected Data'!M$5),0)</f>
        <v>158.16361116494025</v>
      </c>
    </row>
    <row r="45" spans="1:6">
      <c r="A45" s="18">
        <v>44</v>
      </c>
      <c r="B45" s="19">
        <f ca="1">MAX(NORMINV(RAND(),'Collected Data'!I$4,'Collected Data'!I$5),0)</f>
        <v>23.977561975175409</v>
      </c>
      <c r="C45" s="19">
        <f ca="1">MAX(NORMINV(RAND(),'Collected Data'!J$4,'Collected Data'!J$5),0)</f>
        <v>120.54194586216124</v>
      </c>
      <c r="D45" s="19">
        <f ca="1">MAX(NORMINV(RAND(),'Collected Data'!K$4,'Collected Data'!K$5),0)</f>
        <v>27.96837274136557</v>
      </c>
      <c r="E45" s="19">
        <f ca="1">MAX(NORMINV(RAND(),'Collected Data'!L$4,'Collected Data'!L$5),0)</f>
        <v>120.6794558413502</v>
      </c>
      <c r="F45" s="19">
        <f ca="1">MAX(NORMINV(RAND(),'Collected Data'!M$4,'Collected Data'!M$5),0)</f>
        <v>79.860652552816205</v>
      </c>
    </row>
    <row r="46" spans="1:6">
      <c r="A46" s="18">
        <v>45</v>
      </c>
      <c r="B46" s="19">
        <f ca="1">MAX(NORMINV(RAND(),'Collected Data'!I$4,'Collected Data'!I$5),0)</f>
        <v>23.089063126282198</v>
      </c>
      <c r="C46" s="19">
        <f ca="1">MAX(NORMINV(RAND(),'Collected Data'!J$4,'Collected Data'!J$5),0)</f>
        <v>81.983104509356565</v>
      </c>
      <c r="D46" s="19">
        <f ca="1">MAX(NORMINV(RAND(),'Collected Data'!K$4,'Collected Data'!K$5),0)</f>
        <v>137.2618272917972</v>
      </c>
      <c r="E46" s="19">
        <f ca="1">MAX(NORMINV(RAND(),'Collected Data'!L$4,'Collected Data'!L$5),0)</f>
        <v>115.24857994659934</v>
      </c>
      <c r="F46" s="19">
        <f ca="1">MAX(NORMINV(RAND(),'Collected Data'!M$4,'Collected Data'!M$5),0)</f>
        <v>96.656329499300085</v>
      </c>
    </row>
    <row r="47" spans="1:6">
      <c r="A47" s="18">
        <v>46</v>
      </c>
      <c r="B47" s="19">
        <f ca="1">MAX(NORMINV(RAND(),'Collected Data'!I$4,'Collected Data'!I$5),0)</f>
        <v>17.580443248681902</v>
      </c>
      <c r="C47" s="19">
        <f ca="1">MAX(NORMINV(RAND(),'Collected Data'!J$4,'Collected Data'!J$5),0)</f>
        <v>71.782671555853653</v>
      </c>
      <c r="D47" s="19">
        <f ca="1">MAX(NORMINV(RAND(),'Collected Data'!K$4,'Collected Data'!K$5),0)</f>
        <v>85.737695935155159</v>
      </c>
      <c r="E47" s="19">
        <f ca="1">MAX(NORMINV(RAND(),'Collected Data'!L$4,'Collected Data'!L$5),0)</f>
        <v>127.90852944596062</v>
      </c>
      <c r="F47" s="19">
        <f ca="1">MAX(NORMINV(RAND(),'Collected Data'!M$4,'Collected Data'!M$5),0)</f>
        <v>152.02023591521908</v>
      </c>
    </row>
    <row r="48" spans="1:6">
      <c r="A48" s="18">
        <v>47</v>
      </c>
      <c r="B48" s="19">
        <f ca="1">MAX(NORMINV(RAND(),'Collected Data'!I$4,'Collected Data'!I$5),0)</f>
        <v>16.749609231809043</v>
      </c>
      <c r="C48" s="19">
        <f ca="1">MAX(NORMINV(RAND(),'Collected Data'!J$4,'Collected Data'!J$5),0)</f>
        <v>126.7952711767702</v>
      </c>
      <c r="D48" s="19">
        <f ca="1">MAX(NORMINV(RAND(),'Collected Data'!K$4,'Collected Data'!K$5),0)</f>
        <v>167.99005316302396</v>
      </c>
      <c r="E48" s="19">
        <f ca="1">MAX(NORMINV(RAND(),'Collected Data'!L$4,'Collected Data'!L$5),0)</f>
        <v>48.653776592621114</v>
      </c>
      <c r="F48" s="19">
        <f ca="1">MAX(NORMINV(RAND(),'Collected Data'!M$4,'Collected Data'!M$5),0)</f>
        <v>107.85411292900046</v>
      </c>
    </row>
    <row r="49" spans="1:6">
      <c r="A49" s="18">
        <v>48</v>
      </c>
      <c r="B49" s="19">
        <f ca="1">MAX(NORMINV(RAND(),'Collected Data'!I$4,'Collected Data'!I$5),0)</f>
        <v>14.427999189386064</v>
      </c>
      <c r="C49" s="19">
        <f ca="1">MAX(NORMINV(RAND(),'Collected Data'!J$4,'Collected Data'!J$5),0)</f>
        <v>110.22300361903319</v>
      </c>
      <c r="D49" s="19">
        <f ca="1">MAX(NORMINV(RAND(),'Collected Data'!K$4,'Collected Data'!K$5),0)</f>
        <v>88.08740241310754</v>
      </c>
      <c r="E49" s="19">
        <f ca="1">MAX(NORMINV(RAND(),'Collected Data'!L$4,'Collected Data'!L$5),0)</f>
        <v>47.572377116384622</v>
      </c>
      <c r="F49" s="19">
        <f ca="1">MAX(NORMINV(RAND(),'Collected Data'!M$4,'Collected Data'!M$5),0)</f>
        <v>73.815766246994102</v>
      </c>
    </row>
    <row r="50" spans="1:6">
      <c r="A50" s="18">
        <v>49</v>
      </c>
      <c r="B50" s="19">
        <f ca="1">MAX(NORMINV(RAND(),'Collected Data'!I$4,'Collected Data'!I$5),0)</f>
        <v>19.027776747943705</v>
      </c>
      <c r="C50" s="19">
        <f ca="1">MAX(NORMINV(RAND(),'Collected Data'!J$4,'Collected Data'!J$5),0)</f>
        <v>84.111246940078445</v>
      </c>
      <c r="D50" s="19">
        <f ca="1">MAX(NORMINV(RAND(),'Collected Data'!K$4,'Collected Data'!K$5),0)</f>
        <v>185.9110228823393</v>
      </c>
      <c r="E50" s="19">
        <f ca="1">MAX(NORMINV(RAND(),'Collected Data'!L$4,'Collected Data'!L$5),0)</f>
        <v>74.790272003250209</v>
      </c>
      <c r="F50" s="19">
        <f ca="1">MAX(NORMINV(RAND(),'Collected Data'!M$4,'Collected Data'!M$5),0)</f>
        <v>166.07009001571208</v>
      </c>
    </row>
    <row r="51" spans="1:6">
      <c r="A51" s="18">
        <v>50</v>
      </c>
      <c r="B51" s="19">
        <f ca="1">MAX(NORMINV(RAND(),'Collected Data'!I$4,'Collected Data'!I$5),0)</f>
        <v>17.228385498381694</v>
      </c>
      <c r="C51" s="19">
        <f ca="1">MAX(NORMINV(RAND(),'Collected Data'!J$4,'Collected Data'!J$5),0)</f>
        <v>97.319973783846763</v>
      </c>
      <c r="D51" s="19">
        <f ca="1">MAX(NORMINV(RAND(),'Collected Data'!K$4,'Collected Data'!K$5),0)</f>
        <v>73.862232999345864</v>
      </c>
      <c r="E51" s="19">
        <f ca="1">MAX(NORMINV(RAND(),'Collected Data'!L$4,'Collected Data'!L$5),0)</f>
        <v>13.379402866483559</v>
      </c>
      <c r="F51" s="19">
        <f ca="1">MAX(NORMINV(RAND(),'Collected Data'!M$4,'Collected Data'!M$5),0)</f>
        <v>111.25720826205405</v>
      </c>
    </row>
    <row r="52" spans="1:6">
      <c r="A52" s="18">
        <v>51</v>
      </c>
      <c r="B52" s="19">
        <f ca="1">MAX(NORMINV(RAND(),'Collected Data'!I$4,'Collected Data'!I$5),0)</f>
        <v>35.300301558212944</v>
      </c>
      <c r="C52" s="19">
        <f ca="1">MAX(NORMINV(RAND(),'Collected Data'!J$4,'Collected Data'!J$5),0)</f>
        <v>124.71526221129551</v>
      </c>
      <c r="D52" s="19">
        <f ca="1">MAX(NORMINV(RAND(),'Collected Data'!K$4,'Collected Data'!K$5),0)</f>
        <v>162.05137313724569</v>
      </c>
      <c r="E52" s="19">
        <f ca="1">MAX(NORMINV(RAND(),'Collected Data'!L$4,'Collected Data'!L$5),0)</f>
        <v>64.883483112116309</v>
      </c>
      <c r="F52" s="19">
        <f ca="1">MAX(NORMINV(RAND(),'Collected Data'!M$4,'Collected Data'!M$5),0)</f>
        <v>57.351400321731504</v>
      </c>
    </row>
    <row r="53" spans="1:6">
      <c r="A53" s="18">
        <v>52</v>
      </c>
      <c r="B53" s="19">
        <f ca="1">MAX(NORMINV(RAND(),'Collected Data'!I$4,'Collected Data'!I$5),0)</f>
        <v>0</v>
      </c>
      <c r="C53" s="19">
        <f ca="1">MAX(NORMINV(RAND(),'Collected Data'!J$4,'Collected Data'!J$5),0)</f>
        <v>113.31754886833387</v>
      </c>
      <c r="D53" s="19">
        <f ca="1">MAX(NORMINV(RAND(),'Collected Data'!K$4,'Collected Data'!K$5),0)</f>
        <v>16.439483852304761</v>
      </c>
      <c r="E53" s="19">
        <f ca="1">MAX(NORMINV(RAND(),'Collected Data'!L$4,'Collected Data'!L$5),0)</f>
        <v>157.87126737413263</v>
      </c>
      <c r="F53" s="19">
        <f ca="1">MAX(NORMINV(RAND(),'Collected Data'!M$4,'Collected Data'!M$5),0)</f>
        <v>48.395044524716617</v>
      </c>
    </row>
    <row r="54" spans="1:6">
      <c r="A54" s="18">
        <v>53</v>
      </c>
      <c r="B54" s="19">
        <f ca="1">MAX(NORMINV(RAND(),'Collected Data'!I$4,'Collected Data'!I$5),0)</f>
        <v>4.3574907193119117</v>
      </c>
      <c r="C54" s="19">
        <f ca="1">MAX(NORMINV(RAND(),'Collected Data'!J$4,'Collected Data'!J$5),0)</f>
        <v>44.565042703908503</v>
      </c>
      <c r="D54" s="19">
        <f ca="1">MAX(NORMINV(RAND(),'Collected Data'!K$4,'Collected Data'!K$5),0)</f>
        <v>163.91602642137369</v>
      </c>
      <c r="E54" s="19">
        <f ca="1">MAX(NORMINV(RAND(),'Collected Data'!L$4,'Collected Data'!L$5),0)</f>
        <v>140.98824107475778</v>
      </c>
      <c r="F54" s="19">
        <f ca="1">MAX(NORMINV(RAND(),'Collected Data'!M$4,'Collected Data'!M$5),0)</f>
        <v>96.327859716280742</v>
      </c>
    </row>
    <row r="55" spans="1:6">
      <c r="A55" s="18">
        <v>54</v>
      </c>
      <c r="B55" s="19">
        <f ca="1">MAX(NORMINV(RAND(),'Collected Data'!I$4,'Collected Data'!I$5),0)</f>
        <v>8.4792597783527537</v>
      </c>
      <c r="C55" s="19">
        <f ca="1">MAX(NORMINV(RAND(),'Collected Data'!J$4,'Collected Data'!J$5),0)</f>
        <v>70.727157762990871</v>
      </c>
      <c r="D55" s="19">
        <f ca="1">MAX(NORMINV(RAND(),'Collected Data'!K$4,'Collected Data'!K$5),0)</f>
        <v>97.505726269644953</v>
      </c>
      <c r="E55" s="19">
        <f ca="1">MAX(NORMINV(RAND(),'Collected Data'!L$4,'Collected Data'!L$5),0)</f>
        <v>135.95231379664909</v>
      </c>
      <c r="F55" s="19">
        <f ca="1">MAX(NORMINV(RAND(),'Collected Data'!M$4,'Collected Data'!M$5),0)</f>
        <v>97.298790499838063</v>
      </c>
    </row>
    <row r="56" spans="1:6">
      <c r="A56" s="18">
        <v>55</v>
      </c>
      <c r="B56" s="19">
        <f ca="1">MAX(NORMINV(RAND(),'Collected Data'!I$4,'Collected Data'!I$5),0)</f>
        <v>3.9872643981418001</v>
      </c>
      <c r="C56" s="19">
        <f ca="1">MAX(NORMINV(RAND(),'Collected Data'!J$4,'Collected Data'!J$5),0)</f>
        <v>154.62266921679787</v>
      </c>
      <c r="D56" s="19">
        <f ca="1">MAX(NORMINV(RAND(),'Collected Data'!K$4,'Collected Data'!K$5),0)</f>
        <v>238.77016388743215</v>
      </c>
      <c r="E56" s="19">
        <f ca="1">MAX(NORMINV(RAND(),'Collected Data'!L$4,'Collected Data'!L$5),0)</f>
        <v>107.12354866153862</v>
      </c>
      <c r="F56" s="19">
        <f ca="1">MAX(NORMINV(RAND(),'Collected Data'!M$4,'Collected Data'!M$5),0)</f>
        <v>123.94244310567387</v>
      </c>
    </row>
    <row r="57" spans="1:6">
      <c r="A57" s="18">
        <v>56</v>
      </c>
      <c r="B57" s="19">
        <f ca="1">MAX(NORMINV(RAND(),'Collected Data'!I$4,'Collected Data'!I$5),0)</f>
        <v>4.9341245452371769</v>
      </c>
      <c r="C57" s="19">
        <f ca="1">MAX(NORMINV(RAND(),'Collected Data'!J$4,'Collected Data'!J$5),0)</f>
        <v>60.994332704309038</v>
      </c>
      <c r="D57" s="19">
        <f ca="1">MAX(NORMINV(RAND(),'Collected Data'!K$4,'Collected Data'!K$5),0)</f>
        <v>193.72250644685275</v>
      </c>
      <c r="E57" s="19">
        <f ca="1">MAX(NORMINV(RAND(),'Collected Data'!L$4,'Collected Data'!L$5),0)</f>
        <v>151.67857976122809</v>
      </c>
      <c r="F57" s="19">
        <f ca="1">MAX(NORMINV(RAND(),'Collected Data'!M$4,'Collected Data'!M$5),0)</f>
        <v>102.62218966504396</v>
      </c>
    </row>
    <row r="58" spans="1:6">
      <c r="A58" s="18">
        <v>57</v>
      </c>
      <c r="B58" s="19">
        <f ca="1">MAX(NORMINV(RAND(),'Collected Data'!I$4,'Collected Data'!I$5),0)</f>
        <v>9.7471318753941176</v>
      </c>
      <c r="C58" s="19">
        <f ca="1">MAX(NORMINV(RAND(),'Collected Data'!J$4,'Collected Data'!J$5),0)</f>
        <v>146.55727831654045</v>
      </c>
      <c r="D58" s="19">
        <f ca="1">MAX(NORMINV(RAND(),'Collected Data'!K$4,'Collected Data'!K$5),0)</f>
        <v>183.92847511860964</v>
      </c>
      <c r="E58" s="19">
        <f ca="1">MAX(NORMINV(RAND(),'Collected Data'!L$4,'Collected Data'!L$5),0)</f>
        <v>125.81610150339085</v>
      </c>
      <c r="F58" s="19">
        <f ca="1">MAX(NORMINV(RAND(),'Collected Data'!M$4,'Collected Data'!M$5),0)</f>
        <v>143.23995369008861</v>
      </c>
    </row>
    <row r="59" spans="1:6">
      <c r="A59" s="18">
        <v>58</v>
      </c>
      <c r="B59" s="19">
        <f ca="1">MAX(NORMINV(RAND(),'Collected Data'!I$4,'Collected Data'!I$5),0)</f>
        <v>17.742324812086139</v>
      </c>
      <c r="C59" s="19">
        <f ca="1">MAX(NORMINV(RAND(),'Collected Data'!J$4,'Collected Data'!J$5),0)</f>
        <v>72.084350540691716</v>
      </c>
      <c r="D59" s="19">
        <f ca="1">MAX(NORMINV(RAND(),'Collected Data'!K$4,'Collected Data'!K$5),0)</f>
        <v>134.94900607961034</v>
      </c>
      <c r="E59" s="19">
        <f ca="1">MAX(NORMINV(RAND(),'Collected Data'!L$4,'Collected Data'!L$5),0)</f>
        <v>0</v>
      </c>
      <c r="F59" s="19">
        <f ca="1">MAX(NORMINV(RAND(),'Collected Data'!M$4,'Collected Data'!M$5),0)</f>
        <v>92.257540975769842</v>
      </c>
    </row>
    <row r="60" spans="1:6">
      <c r="A60" s="18">
        <v>59</v>
      </c>
      <c r="B60" s="19">
        <f ca="1">MAX(NORMINV(RAND(),'Collected Data'!I$4,'Collected Data'!I$5),0)</f>
        <v>16.596267326333479</v>
      </c>
      <c r="C60" s="19">
        <f ca="1">MAX(NORMINV(RAND(),'Collected Data'!J$4,'Collected Data'!J$5),0)</f>
        <v>121.44869538414704</v>
      </c>
      <c r="D60" s="19">
        <f ca="1">MAX(NORMINV(RAND(),'Collected Data'!K$4,'Collected Data'!K$5),0)</f>
        <v>49.994352086347838</v>
      </c>
      <c r="E60" s="19">
        <f ca="1">MAX(NORMINV(RAND(),'Collected Data'!L$4,'Collected Data'!L$5),0)</f>
        <v>167.31523122999431</v>
      </c>
      <c r="F60" s="19">
        <f ca="1">MAX(NORMINV(RAND(),'Collected Data'!M$4,'Collected Data'!M$5),0)</f>
        <v>66.595321885955357</v>
      </c>
    </row>
    <row r="61" spans="1:6">
      <c r="A61" s="18">
        <v>60</v>
      </c>
      <c r="B61" s="19">
        <f ca="1">MAX(NORMINV(RAND(),'Collected Data'!I$4,'Collected Data'!I$5),0)</f>
        <v>20.007593336900108</v>
      </c>
      <c r="C61" s="19">
        <f ca="1">MAX(NORMINV(RAND(),'Collected Data'!J$4,'Collected Data'!J$5),0)</f>
        <v>157.78538088545099</v>
      </c>
      <c r="D61" s="19">
        <f ca="1">MAX(NORMINV(RAND(),'Collected Data'!K$4,'Collected Data'!K$5),0)</f>
        <v>0</v>
      </c>
      <c r="E61" s="19">
        <f ca="1">MAX(NORMINV(RAND(),'Collected Data'!L$4,'Collected Data'!L$5),0)</f>
        <v>42.564940978100147</v>
      </c>
      <c r="F61" s="19">
        <f ca="1">MAX(NORMINV(RAND(),'Collected Data'!M$4,'Collected Data'!M$5),0)</f>
        <v>114.97549256873228</v>
      </c>
    </row>
    <row r="62" spans="1:6">
      <c r="A62" s="18">
        <v>61</v>
      </c>
      <c r="B62" s="19">
        <f ca="1">MAX(NORMINV(RAND(),'Collected Data'!I$4,'Collected Data'!I$5),0)</f>
        <v>18.35178538225956</v>
      </c>
      <c r="C62" s="19">
        <f ca="1">MAX(NORMINV(RAND(),'Collected Data'!J$4,'Collected Data'!J$5),0)</f>
        <v>88.206878377760773</v>
      </c>
      <c r="D62" s="19">
        <f ca="1">MAX(NORMINV(RAND(),'Collected Data'!K$4,'Collected Data'!K$5),0)</f>
        <v>64.615920492640896</v>
      </c>
      <c r="E62" s="19">
        <f ca="1">MAX(NORMINV(RAND(),'Collected Data'!L$4,'Collected Data'!L$5),0)</f>
        <v>29.689359110569569</v>
      </c>
      <c r="F62" s="19">
        <f ca="1">MAX(NORMINV(RAND(),'Collected Data'!M$4,'Collected Data'!M$5),0)</f>
        <v>129.73367696564807</v>
      </c>
    </row>
    <row r="63" spans="1:6">
      <c r="A63" s="18">
        <v>62</v>
      </c>
      <c r="B63" s="19">
        <f ca="1">MAX(NORMINV(RAND(),'Collected Data'!I$4,'Collected Data'!I$5),0)</f>
        <v>8.10695308735583</v>
      </c>
      <c r="C63" s="19">
        <f ca="1">MAX(NORMINV(RAND(),'Collected Data'!J$4,'Collected Data'!J$5),0)</f>
        <v>105.9789196759088</v>
      </c>
      <c r="D63" s="19">
        <f ca="1">MAX(NORMINV(RAND(),'Collected Data'!K$4,'Collected Data'!K$5),0)</f>
        <v>99.590689509831847</v>
      </c>
      <c r="E63" s="19">
        <f ca="1">MAX(NORMINV(RAND(),'Collected Data'!L$4,'Collected Data'!L$5),0)</f>
        <v>99.499025811233679</v>
      </c>
      <c r="F63" s="19">
        <f ca="1">MAX(NORMINV(RAND(),'Collected Data'!M$4,'Collected Data'!M$5),0)</f>
        <v>156.07120016470708</v>
      </c>
    </row>
    <row r="64" spans="1:6">
      <c r="A64" s="18">
        <v>63</v>
      </c>
      <c r="B64" s="19">
        <f ca="1">MAX(NORMINV(RAND(),'Collected Data'!I$4,'Collected Data'!I$5),0)</f>
        <v>25.048309418218366</v>
      </c>
      <c r="C64" s="19">
        <f ca="1">MAX(NORMINV(RAND(),'Collected Data'!J$4,'Collected Data'!J$5),0)</f>
        <v>17.076718151372674</v>
      </c>
      <c r="D64" s="19">
        <f ca="1">MAX(NORMINV(RAND(),'Collected Data'!K$4,'Collected Data'!K$5),0)</f>
        <v>0</v>
      </c>
      <c r="E64" s="19">
        <f ca="1">MAX(NORMINV(RAND(),'Collected Data'!L$4,'Collected Data'!L$5),0)</f>
        <v>30.778361984899036</v>
      </c>
      <c r="F64" s="19">
        <f ca="1">MAX(NORMINV(RAND(),'Collected Data'!M$4,'Collected Data'!M$5),0)</f>
        <v>82.998609546311457</v>
      </c>
    </row>
    <row r="65" spans="1:6">
      <c r="A65" s="18">
        <v>64</v>
      </c>
      <c r="B65" s="19">
        <f ca="1">MAX(NORMINV(RAND(),'Collected Data'!I$4,'Collected Data'!I$5),0)</f>
        <v>6.7861783901137951</v>
      </c>
      <c r="C65" s="19">
        <f ca="1">MAX(NORMINV(RAND(),'Collected Data'!J$4,'Collected Data'!J$5),0)</f>
        <v>109.16597910349867</v>
      </c>
      <c r="D65" s="19">
        <f ca="1">MAX(NORMINV(RAND(),'Collected Data'!K$4,'Collected Data'!K$5),0)</f>
        <v>94.99221635897058</v>
      </c>
      <c r="E65" s="19">
        <f ca="1">MAX(NORMINV(RAND(),'Collected Data'!L$4,'Collected Data'!L$5),0)</f>
        <v>110.47183051828226</v>
      </c>
      <c r="F65" s="19">
        <f ca="1">MAX(NORMINV(RAND(),'Collected Data'!M$4,'Collected Data'!M$5),0)</f>
        <v>108.52016671679576</v>
      </c>
    </row>
    <row r="66" spans="1:6">
      <c r="A66" s="18">
        <v>65</v>
      </c>
      <c r="B66" s="19">
        <f ca="1">MAX(NORMINV(RAND(),'Collected Data'!I$4,'Collected Data'!I$5),0)</f>
        <v>12.218419859029272</v>
      </c>
      <c r="C66" s="19">
        <f ca="1">MAX(NORMINV(RAND(),'Collected Data'!J$4,'Collected Data'!J$5),0)</f>
        <v>104.14936288579834</v>
      </c>
      <c r="D66" s="19">
        <f ca="1">MAX(NORMINV(RAND(),'Collected Data'!K$4,'Collected Data'!K$5),0)</f>
        <v>130.29441564583104</v>
      </c>
      <c r="E66" s="19">
        <f ca="1">MAX(NORMINV(RAND(),'Collected Data'!L$4,'Collected Data'!L$5),0)</f>
        <v>80.604738743338302</v>
      </c>
      <c r="F66" s="19">
        <f ca="1">MAX(NORMINV(RAND(),'Collected Data'!M$4,'Collected Data'!M$5),0)</f>
        <v>125.06037848664582</v>
      </c>
    </row>
    <row r="67" spans="1:6">
      <c r="A67" s="18">
        <v>66</v>
      </c>
      <c r="B67" s="19">
        <f ca="1">MAX(NORMINV(RAND(),'Collected Data'!I$4,'Collected Data'!I$5),0)</f>
        <v>21.508657052844367</v>
      </c>
      <c r="C67" s="19">
        <f ca="1">MAX(NORMINV(RAND(),'Collected Data'!J$4,'Collected Data'!J$5),0)</f>
        <v>122.32873768511072</v>
      </c>
      <c r="D67" s="19">
        <f ca="1">MAX(NORMINV(RAND(),'Collected Data'!K$4,'Collected Data'!K$5),0)</f>
        <v>33.244529998436917</v>
      </c>
      <c r="E67" s="19">
        <f ca="1">MAX(NORMINV(RAND(),'Collected Data'!L$4,'Collected Data'!L$5),0)</f>
        <v>28.466488495947054</v>
      </c>
      <c r="F67" s="19">
        <f ca="1">MAX(NORMINV(RAND(),'Collected Data'!M$4,'Collected Data'!M$5),0)</f>
        <v>105.27051920289217</v>
      </c>
    </row>
    <row r="68" spans="1:6">
      <c r="A68" s="18">
        <v>67</v>
      </c>
      <c r="B68" s="19">
        <f ca="1">MAX(NORMINV(RAND(),'Collected Data'!I$4,'Collected Data'!I$5),0)</f>
        <v>29.190629156053234</v>
      </c>
      <c r="C68" s="19">
        <f ca="1">MAX(NORMINV(RAND(),'Collected Data'!J$4,'Collected Data'!J$5),0)</f>
        <v>150.17772149766017</v>
      </c>
      <c r="D68" s="19">
        <f ca="1">MAX(NORMINV(RAND(),'Collected Data'!K$4,'Collected Data'!K$5),0)</f>
        <v>178.88140559037743</v>
      </c>
      <c r="E68" s="19">
        <f ca="1">MAX(NORMINV(RAND(),'Collected Data'!L$4,'Collected Data'!L$5),0)</f>
        <v>143.51665287230452</v>
      </c>
      <c r="F68" s="19">
        <f ca="1">MAX(NORMINV(RAND(),'Collected Data'!M$4,'Collected Data'!M$5),0)</f>
        <v>106.53620862571898</v>
      </c>
    </row>
    <row r="69" spans="1:6">
      <c r="A69" s="18">
        <v>68</v>
      </c>
      <c r="B69" s="19">
        <f ca="1">MAX(NORMINV(RAND(),'Collected Data'!I$4,'Collected Data'!I$5),0)</f>
        <v>24.109275689385399</v>
      </c>
      <c r="C69" s="19">
        <f ca="1">MAX(NORMINV(RAND(),'Collected Data'!J$4,'Collected Data'!J$5),0)</f>
        <v>101.1134002006055</v>
      </c>
      <c r="D69" s="19">
        <f ca="1">MAX(NORMINV(RAND(),'Collected Data'!K$4,'Collected Data'!K$5),0)</f>
        <v>89.305635877881201</v>
      </c>
      <c r="E69" s="19">
        <f ca="1">MAX(NORMINV(RAND(),'Collected Data'!L$4,'Collected Data'!L$5),0)</f>
        <v>62.101138217038994</v>
      </c>
      <c r="F69" s="19">
        <f ca="1">MAX(NORMINV(RAND(),'Collected Data'!M$4,'Collected Data'!M$5),0)</f>
        <v>76.857429840446173</v>
      </c>
    </row>
    <row r="70" spans="1:6">
      <c r="A70" s="18">
        <v>69</v>
      </c>
      <c r="B70" s="19">
        <f ca="1">MAX(NORMINV(RAND(),'Collected Data'!I$4,'Collected Data'!I$5),0)</f>
        <v>18.450741116998369</v>
      </c>
      <c r="C70" s="19">
        <f ca="1">MAX(NORMINV(RAND(),'Collected Data'!J$4,'Collected Data'!J$5),0)</f>
        <v>114.42252176520698</v>
      </c>
      <c r="D70" s="19">
        <f ca="1">MAX(NORMINV(RAND(),'Collected Data'!K$4,'Collected Data'!K$5),0)</f>
        <v>168.60359020233608</v>
      </c>
      <c r="E70" s="19">
        <f ca="1">MAX(NORMINV(RAND(),'Collected Data'!L$4,'Collected Data'!L$5),0)</f>
        <v>111.95561639790697</v>
      </c>
      <c r="F70" s="19">
        <f ca="1">MAX(NORMINV(RAND(),'Collected Data'!M$4,'Collected Data'!M$5),0)</f>
        <v>76.706589419153858</v>
      </c>
    </row>
    <row r="71" spans="1:6">
      <c r="A71" s="18">
        <v>70</v>
      </c>
      <c r="B71" s="19">
        <f ca="1">MAX(NORMINV(RAND(),'Collected Data'!I$4,'Collected Data'!I$5),0)</f>
        <v>23.269886922395624</v>
      </c>
      <c r="C71" s="19">
        <f ca="1">MAX(NORMINV(RAND(),'Collected Data'!J$4,'Collected Data'!J$5),0)</f>
        <v>122.77497234151866</v>
      </c>
      <c r="D71" s="19">
        <f ca="1">MAX(NORMINV(RAND(),'Collected Data'!K$4,'Collected Data'!K$5),0)</f>
        <v>10.977318021497098</v>
      </c>
      <c r="E71" s="19">
        <f ca="1">MAX(NORMINV(RAND(),'Collected Data'!L$4,'Collected Data'!L$5),0)</f>
        <v>63.292309798364045</v>
      </c>
      <c r="F71" s="19">
        <f ca="1">MAX(NORMINV(RAND(),'Collected Data'!M$4,'Collected Data'!M$5),0)</f>
        <v>160.89534868321695</v>
      </c>
    </row>
    <row r="72" spans="1:6">
      <c r="A72" s="18">
        <v>71</v>
      </c>
      <c r="B72" s="19">
        <f ca="1">MAX(NORMINV(RAND(),'Collected Data'!I$4,'Collected Data'!I$5),0)</f>
        <v>9.0194829368104212</v>
      </c>
      <c r="C72" s="19">
        <f ca="1">MAX(NORMINV(RAND(),'Collected Data'!J$4,'Collected Data'!J$5),0)</f>
        <v>122.5957732714582</v>
      </c>
      <c r="D72" s="19">
        <f ca="1">MAX(NORMINV(RAND(),'Collected Data'!K$4,'Collected Data'!K$5),0)</f>
        <v>119.05014748409884</v>
      </c>
      <c r="E72" s="19">
        <f ca="1">MAX(NORMINV(RAND(),'Collected Data'!L$4,'Collected Data'!L$5),0)</f>
        <v>91.243116200715548</v>
      </c>
      <c r="F72" s="19">
        <f ca="1">MAX(NORMINV(RAND(),'Collected Data'!M$4,'Collected Data'!M$5),0)</f>
        <v>102.3863618103085</v>
      </c>
    </row>
    <row r="73" spans="1:6">
      <c r="A73" s="18">
        <v>72</v>
      </c>
      <c r="B73" s="19">
        <f ca="1">MAX(NORMINV(RAND(),'Collected Data'!I$4,'Collected Data'!I$5),0)</f>
        <v>32.168178264694014</v>
      </c>
      <c r="C73" s="19">
        <f ca="1">MAX(NORMINV(RAND(),'Collected Data'!J$4,'Collected Data'!J$5),0)</f>
        <v>50.577234984751584</v>
      </c>
      <c r="D73" s="19">
        <f ca="1">MAX(NORMINV(RAND(),'Collected Data'!K$4,'Collected Data'!K$5),0)</f>
        <v>100.20208891141623</v>
      </c>
      <c r="E73" s="19">
        <f ca="1">MAX(NORMINV(RAND(),'Collected Data'!L$4,'Collected Data'!L$5),0)</f>
        <v>39.474195076328243</v>
      </c>
      <c r="F73" s="19">
        <f ca="1">MAX(NORMINV(RAND(),'Collected Data'!M$4,'Collected Data'!M$5),0)</f>
        <v>34.5885568128217</v>
      </c>
    </row>
    <row r="74" spans="1:6">
      <c r="A74" s="18">
        <v>73</v>
      </c>
      <c r="B74" s="19">
        <f ca="1">MAX(NORMINV(RAND(),'Collected Data'!I$4,'Collected Data'!I$5),0)</f>
        <v>5.6891229585288769</v>
      </c>
      <c r="C74" s="19">
        <f ca="1">MAX(NORMINV(RAND(),'Collected Data'!J$4,'Collected Data'!J$5),0)</f>
        <v>186.75368169449996</v>
      </c>
      <c r="D74" s="19">
        <f ca="1">MAX(NORMINV(RAND(),'Collected Data'!K$4,'Collected Data'!K$5),0)</f>
        <v>83.263610087803045</v>
      </c>
      <c r="E74" s="19">
        <f ca="1">MAX(NORMINV(RAND(),'Collected Data'!L$4,'Collected Data'!L$5),0)</f>
        <v>81.072142608886736</v>
      </c>
      <c r="F74" s="19">
        <f ca="1">MAX(NORMINV(RAND(),'Collected Data'!M$4,'Collected Data'!M$5),0)</f>
        <v>30.997430467897722</v>
      </c>
    </row>
    <row r="75" spans="1:6">
      <c r="A75" s="18">
        <v>74</v>
      </c>
      <c r="B75" s="19">
        <f ca="1">MAX(NORMINV(RAND(),'Collected Data'!I$4,'Collected Data'!I$5),0)</f>
        <v>15.995642214354286</v>
      </c>
      <c r="C75" s="19">
        <f ca="1">MAX(NORMINV(RAND(),'Collected Data'!J$4,'Collected Data'!J$5),0)</f>
        <v>92.065975534108986</v>
      </c>
      <c r="D75" s="19">
        <f ca="1">MAX(NORMINV(RAND(),'Collected Data'!K$4,'Collected Data'!K$5),0)</f>
        <v>62.444765637147576</v>
      </c>
      <c r="E75" s="19">
        <f ca="1">MAX(NORMINV(RAND(),'Collected Data'!L$4,'Collected Data'!L$5),0)</f>
        <v>123.97550457965679</v>
      </c>
      <c r="F75" s="19">
        <f ca="1">MAX(NORMINV(RAND(),'Collected Data'!M$4,'Collected Data'!M$5),0)</f>
        <v>33.121504441275114</v>
      </c>
    </row>
    <row r="76" spans="1:6">
      <c r="A76" s="18">
        <v>75</v>
      </c>
      <c r="B76" s="19">
        <f ca="1">MAX(NORMINV(RAND(),'Collected Data'!I$4,'Collected Data'!I$5),0)</f>
        <v>22.077993064164385</v>
      </c>
      <c r="C76" s="19">
        <f ca="1">MAX(NORMINV(RAND(),'Collected Data'!J$4,'Collected Data'!J$5),0)</f>
        <v>71.411512916111803</v>
      </c>
      <c r="D76" s="19">
        <f ca="1">MAX(NORMINV(RAND(),'Collected Data'!K$4,'Collected Data'!K$5),0)</f>
        <v>81.327565416047889</v>
      </c>
      <c r="E76" s="19">
        <f ca="1">MAX(NORMINV(RAND(),'Collected Data'!L$4,'Collected Data'!L$5),0)</f>
        <v>28.373669012855771</v>
      </c>
      <c r="F76" s="19">
        <f ca="1">MAX(NORMINV(RAND(),'Collected Data'!M$4,'Collected Data'!M$5),0)</f>
        <v>174.25488280857476</v>
      </c>
    </row>
    <row r="77" spans="1:6">
      <c r="A77" s="18">
        <v>76</v>
      </c>
      <c r="B77" s="19">
        <f ca="1">MAX(NORMINV(RAND(),'Collected Data'!I$4,'Collected Data'!I$5),0)</f>
        <v>21.48344924979979</v>
      </c>
      <c r="C77" s="19">
        <f ca="1">MAX(NORMINV(RAND(),'Collected Data'!J$4,'Collected Data'!J$5),0)</f>
        <v>69.712080506652995</v>
      </c>
      <c r="D77" s="19">
        <f ca="1">MAX(NORMINV(RAND(),'Collected Data'!K$4,'Collected Data'!K$5),0)</f>
        <v>160.13759681441493</v>
      </c>
      <c r="E77" s="19">
        <f ca="1">MAX(NORMINV(RAND(),'Collected Data'!L$4,'Collected Data'!L$5),0)</f>
        <v>79.405499774236475</v>
      </c>
      <c r="F77" s="19">
        <f ca="1">MAX(NORMINV(RAND(),'Collected Data'!M$4,'Collected Data'!M$5),0)</f>
        <v>39.180403759559439</v>
      </c>
    </row>
    <row r="78" spans="1:6">
      <c r="A78" s="18">
        <v>77</v>
      </c>
      <c r="B78" s="19">
        <f ca="1">MAX(NORMINV(RAND(),'Collected Data'!I$4,'Collected Data'!I$5),0)</f>
        <v>19.792959017521508</v>
      </c>
      <c r="C78" s="19">
        <f ca="1">MAX(NORMINV(RAND(),'Collected Data'!J$4,'Collected Data'!J$5),0)</f>
        <v>32.714848213443943</v>
      </c>
      <c r="D78" s="19">
        <f ca="1">MAX(NORMINV(RAND(),'Collected Data'!K$4,'Collected Data'!K$5),0)</f>
        <v>128.79610356667143</v>
      </c>
      <c r="E78" s="19">
        <f ca="1">MAX(NORMINV(RAND(),'Collected Data'!L$4,'Collected Data'!L$5),0)</f>
        <v>118.1659376958842</v>
      </c>
      <c r="F78" s="19">
        <f ca="1">MAX(NORMINV(RAND(),'Collected Data'!M$4,'Collected Data'!M$5),0)</f>
        <v>71.865146701791474</v>
      </c>
    </row>
    <row r="79" spans="1:6">
      <c r="A79" s="18">
        <v>78</v>
      </c>
      <c r="B79" s="19">
        <f ca="1">MAX(NORMINV(RAND(),'Collected Data'!I$4,'Collected Data'!I$5),0)</f>
        <v>19.491412057140689</v>
      </c>
      <c r="C79" s="19">
        <f ca="1">MAX(NORMINV(RAND(),'Collected Data'!J$4,'Collected Data'!J$5),0)</f>
        <v>126.14724149172497</v>
      </c>
      <c r="D79" s="19">
        <f ca="1">MAX(NORMINV(RAND(),'Collected Data'!K$4,'Collected Data'!K$5),0)</f>
        <v>179.9556369298503</v>
      </c>
      <c r="E79" s="19">
        <f ca="1">MAX(NORMINV(RAND(),'Collected Data'!L$4,'Collected Data'!L$5),0)</f>
        <v>74.38985027789299</v>
      </c>
      <c r="F79" s="19">
        <f ca="1">MAX(NORMINV(RAND(),'Collected Data'!M$4,'Collected Data'!M$5),0)</f>
        <v>221.02716616717217</v>
      </c>
    </row>
    <row r="80" spans="1:6">
      <c r="A80" s="18">
        <v>79</v>
      </c>
      <c r="B80" s="19">
        <f ca="1">MAX(NORMINV(RAND(),'Collected Data'!I$4,'Collected Data'!I$5),0)</f>
        <v>23.84246689979323</v>
      </c>
      <c r="C80" s="19">
        <f ca="1">MAX(NORMINV(RAND(),'Collected Data'!J$4,'Collected Data'!J$5),0)</f>
        <v>135.19979754537297</v>
      </c>
      <c r="D80" s="19">
        <f ca="1">MAX(NORMINV(RAND(),'Collected Data'!K$4,'Collected Data'!K$5),0)</f>
        <v>88.430981563850125</v>
      </c>
      <c r="E80" s="19">
        <f ca="1">MAX(NORMINV(RAND(),'Collected Data'!L$4,'Collected Data'!L$5),0)</f>
        <v>118.48164303105885</v>
      </c>
      <c r="F80" s="19">
        <f ca="1">MAX(NORMINV(RAND(),'Collected Data'!M$4,'Collected Data'!M$5),0)</f>
        <v>119.05591517203482</v>
      </c>
    </row>
    <row r="81" spans="1:6">
      <c r="A81" s="18">
        <v>80</v>
      </c>
      <c r="B81" s="19">
        <f ca="1">MAX(NORMINV(RAND(),'Collected Data'!I$4,'Collected Data'!I$5),0)</f>
        <v>4.7536638251299639</v>
      </c>
      <c r="C81" s="19">
        <f ca="1">MAX(NORMINV(RAND(),'Collected Data'!J$4,'Collected Data'!J$5),0)</f>
        <v>34.090482848725507</v>
      </c>
      <c r="D81" s="19">
        <f ca="1">MAX(NORMINV(RAND(),'Collected Data'!K$4,'Collected Data'!K$5),0)</f>
        <v>149.97311698389279</v>
      </c>
      <c r="E81" s="19">
        <f ca="1">MAX(NORMINV(RAND(),'Collected Data'!L$4,'Collected Data'!L$5),0)</f>
        <v>23.119615839964226</v>
      </c>
      <c r="F81" s="19">
        <f ca="1">MAX(NORMINV(RAND(),'Collected Data'!M$4,'Collected Data'!M$5),0)</f>
        <v>117.20931774412364</v>
      </c>
    </row>
    <row r="82" spans="1:6">
      <c r="A82" s="18">
        <v>81</v>
      </c>
      <c r="B82" s="19">
        <f ca="1">MAX(NORMINV(RAND(),'Collected Data'!I$4,'Collected Data'!I$5),0)</f>
        <v>12.554650515657475</v>
      </c>
      <c r="C82" s="19">
        <f ca="1">MAX(NORMINV(RAND(),'Collected Data'!J$4,'Collected Data'!J$5),0)</f>
        <v>39.834533807893663</v>
      </c>
      <c r="D82" s="19">
        <f ca="1">MAX(NORMINV(RAND(),'Collected Data'!K$4,'Collected Data'!K$5),0)</f>
        <v>74.616472435348314</v>
      </c>
      <c r="E82" s="19">
        <f ca="1">MAX(NORMINV(RAND(),'Collected Data'!L$4,'Collected Data'!L$5),0)</f>
        <v>117.85674868479518</v>
      </c>
      <c r="F82" s="19">
        <f ca="1">MAX(NORMINV(RAND(),'Collected Data'!M$4,'Collected Data'!M$5),0)</f>
        <v>73.078490837677151</v>
      </c>
    </row>
    <row r="83" spans="1:6">
      <c r="A83" s="18">
        <v>82</v>
      </c>
      <c r="B83" s="19">
        <f ca="1">MAX(NORMINV(RAND(),'Collected Data'!I$4,'Collected Data'!I$5),0)</f>
        <v>25.785126666031019</v>
      </c>
      <c r="C83" s="19">
        <f ca="1">MAX(NORMINV(RAND(),'Collected Data'!J$4,'Collected Data'!J$5),0)</f>
        <v>110.65128344003747</v>
      </c>
      <c r="D83" s="19">
        <f ca="1">MAX(NORMINV(RAND(),'Collected Data'!K$4,'Collected Data'!K$5),0)</f>
        <v>122.05789941106218</v>
      </c>
      <c r="E83" s="19">
        <f ca="1">MAX(NORMINV(RAND(),'Collected Data'!L$4,'Collected Data'!L$5),0)</f>
        <v>138.57643546929734</v>
      </c>
      <c r="F83" s="19">
        <f ca="1">MAX(NORMINV(RAND(),'Collected Data'!M$4,'Collected Data'!M$5),0)</f>
        <v>15.279697266835925</v>
      </c>
    </row>
    <row r="84" spans="1:6">
      <c r="A84" s="18">
        <v>83</v>
      </c>
      <c r="B84" s="19">
        <f ca="1">MAX(NORMINV(RAND(),'Collected Data'!I$4,'Collected Data'!I$5),0)</f>
        <v>15.624464094593797</v>
      </c>
      <c r="C84" s="19">
        <f ca="1">MAX(NORMINV(RAND(),'Collected Data'!J$4,'Collected Data'!J$5),0)</f>
        <v>103.46184281952877</v>
      </c>
      <c r="D84" s="19">
        <f ca="1">MAX(NORMINV(RAND(),'Collected Data'!K$4,'Collected Data'!K$5),0)</f>
        <v>66.274116035764862</v>
      </c>
      <c r="E84" s="19">
        <f ca="1">MAX(NORMINV(RAND(),'Collected Data'!L$4,'Collected Data'!L$5),0)</f>
        <v>100.49946963430575</v>
      </c>
      <c r="F84" s="19">
        <f ca="1">MAX(NORMINV(RAND(),'Collected Data'!M$4,'Collected Data'!M$5),0)</f>
        <v>124.10212732791385</v>
      </c>
    </row>
    <row r="85" spans="1:6">
      <c r="A85" s="18">
        <v>84</v>
      </c>
      <c r="B85" s="19">
        <f ca="1">MAX(NORMINV(RAND(),'Collected Data'!I$4,'Collected Data'!I$5),0)</f>
        <v>14.997647646855079</v>
      </c>
      <c r="C85" s="19">
        <f ca="1">MAX(NORMINV(RAND(),'Collected Data'!J$4,'Collected Data'!J$5),0)</f>
        <v>90.955545032022258</v>
      </c>
      <c r="D85" s="19">
        <f ca="1">MAX(NORMINV(RAND(),'Collected Data'!K$4,'Collected Data'!K$5),0)</f>
        <v>146.85851715820624</v>
      </c>
      <c r="E85" s="19">
        <f ca="1">MAX(NORMINV(RAND(),'Collected Data'!L$4,'Collected Data'!L$5),0)</f>
        <v>79.268348348940449</v>
      </c>
      <c r="F85" s="19">
        <f ca="1">MAX(NORMINV(RAND(),'Collected Data'!M$4,'Collected Data'!M$5),0)</f>
        <v>102.08992442063769</v>
      </c>
    </row>
    <row r="86" spans="1:6">
      <c r="A86" s="18">
        <v>85</v>
      </c>
      <c r="B86" s="19">
        <f ca="1">MAX(NORMINV(RAND(),'Collected Data'!I$4,'Collected Data'!I$5),0)</f>
        <v>5.0909979342743856</v>
      </c>
      <c r="C86" s="19">
        <f ca="1">MAX(NORMINV(RAND(),'Collected Data'!J$4,'Collected Data'!J$5),0)</f>
        <v>114.80618020106952</v>
      </c>
      <c r="D86" s="19">
        <f ca="1">MAX(NORMINV(RAND(),'Collected Data'!K$4,'Collected Data'!K$5),0)</f>
        <v>85.525184977884294</v>
      </c>
      <c r="E86" s="19">
        <f ca="1">MAX(NORMINV(RAND(),'Collected Data'!L$4,'Collected Data'!L$5),0)</f>
        <v>86.035020809462878</v>
      </c>
      <c r="F86" s="19">
        <f ca="1">MAX(NORMINV(RAND(),'Collected Data'!M$4,'Collected Data'!M$5),0)</f>
        <v>60.763402405131359</v>
      </c>
    </row>
    <row r="87" spans="1:6">
      <c r="A87" s="18">
        <v>86</v>
      </c>
      <c r="B87" s="19">
        <f ca="1">MAX(NORMINV(RAND(),'Collected Data'!I$4,'Collected Data'!I$5),0)</f>
        <v>11.61759675095046</v>
      </c>
      <c r="C87" s="19">
        <f ca="1">MAX(NORMINV(RAND(),'Collected Data'!J$4,'Collected Data'!J$5),0)</f>
        <v>143.70398295162548</v>
      </c>
      <c r="D87" s="19">
        <f ca="1">MAX(NORMINV(RAND(),'Collected Data'!K$4,'Collected Data'!K$5),0)</f>
        <v>110.87025396051405</v>
      </c>
      <c r="E87" s="19">
        <f ca="1">MAX(NORMINV(RAND(),'Collected Data'!L$4,'Collected Data'!L$5),0)</f>
        <v>58.987112531815256</v>
      </c>
      <c r="F87" s="19">
        <f ca="1">MAX(NORMINV(RAND(),'Collected Data'!M$4,'Collected Data'!M$5),0)</f>
        <v>148.69304927371263</v>
      </c>
    </row>
    <row r="88" spans="1:6">
      <c r="A88" s="18">
        <v>87</v>
      </c>
      <c r="B88" s="19">
        <f ca="1">MAX(NORMINV(RAND(),'Collected Data'!I$4,'Collected Data'!I$5),0)</f>
        <v>15.459359824054454</v>
      </c>
      <c r="C88" s="19">
        <f ca="1">MAX(NORMINV(RAND(),'Collected Data'!J$4,'Collected Data'!J$5),0)</f>
        <v>127.76661289834959</v>
      </c>
      <c r="D88" s="19">
        <f ca="1">MAX(NORMINV(RAND(),'Collected Data'!K$4,'Collected Data'!K$5),0)</f>
        <v>93.783828969795778</v>
      </c>
      <c r="E88" s="19">
        <f ca="1">MAX(NORMINV(RAND(),'Collected Data'!L$4,'Collected Data'!L$5),0)</f>
        <v>66.921921823371605</v>
      </c>
      <c r="F88" s="19">
        <f ca="1">MAX(NORMINV(RAND(),'Collected Data'!M$4,'Collected Data'!M$5),0)</f>
        <v>101.47046948495446</v>
      </c>
    </row>
    <row r="89" spans="1:6">
      <c r="A89" s="18">
        <v>88</v>
      </c>
      <c r="B89" s="19">
        <f ca="1">MAX(NORMINV(RAND(),'Collected Data'!I$4,'Collected Data'!I$5),0)</f>
        <v>13.740791341607057</v>
      </c>
      <c r="C89" s="19">
        <f ca="1">MAX(NORMINV(RAND(),'Collected Data'!J$4,'Collected Data'!J$5),0)</f>
        <v>169.87918635437973</v>
      </c>
      <c r="D89" s="19">
        <f ca="1">MAX(NORMINV(RAND(),'Collected Data'!K$4,'Collected Data'!K$5),0)</f>
        <v>104.71118093663321</v>
      </c>
      <c r="E89" s="19">
        <f ca="1">MAX(NORMINV(RAND(),'Collected Data'!L$4,'Collected Data'!L$5),0)</f>
        <v>119.84894899444903</v>
      </c>
      <c r="F89" s="19">
        <f ca="1">MAX(NORMINV(RAND(),'Collected Data'!M$4,'Collected Data'!M$5),0)</f>
        <v>99.012733699479568</v>
      </c>
    </row>
    <row r="90" spans="1:6">
      <c r="A90" s="18">
        <v>89</v>
      </c>
      <c r="B90" s="19">
        <f ca="1">MAX(NORMINV(RAND(),'Collected Data'!I$4,'Collected Data'!I$5),0)</f>
        <v>28.348163353154433</v>
      </c>
      <c r="C90" s="19">
        <f ca="1">MAX(NORMINV(RAND(),'Collected Data'!J$4,'Collected Data'!J$5),0)</f>
        <v>11.980238887117835</v>
      </c>
      <c r="D90" s="19">
        <f ca="1">MAX(NORMINV(RAND(),'Collected Data'!K$4,'Collected Data'!K$5),0)</f>
        <v>170.34505158009352</v>
      </c>
      <c r="E90" s="19">
        <f ca="1">MAX(NORMINV(RAND(),'Collected Data'!L$4,'Collected Data'!L$5),0)</f>
        <v>132.85740340545095</v>
      </c>
      <c r="F90" s="19">
        <f ca="1">MAX(NORMINV(RAND(),'Collected Data'!M$4,'Collected Data'!M$5),0)</f>
        <v>93.395269690500967</v>
      </c>
    </row>
    <row r="91" spans="1:6">
      <c r="A91" s="18">
        <v>90</v>
      </c>
      <c r="B91" s="19">
        <f ca="1">MAX(NORMINV(RAND(),'Collected Data'!I$4,'Collected Data'!I$5),0)</f>
        <v>8.8507140339582495</v>
      </c>
      <c r="C91" s="19">
        <f ca="1">MAX(NORMINV(RAND(),'Collected Data'!J$4,'Collected Data'!J$5),0)</f>
        <v>71.739828198392203</v>
      </c>
      <c r="D91" s="19">
        <f ca="1">MAX(NORMINV(RAND(),'Collected Data'!K$4,'Collected Data'!K$5),0)</f>
        <v>31.879704870331182</v>
      </c>
      <c r="E91" s="19">
        <f ca="1">MAX(NORMINV(RAND(),'Collected Data'!L$4,'Collected Data'!L$5),0)</f>
        <v>36.952262484445328</v>
      </c>
      <c r="F91" s="19">
        <f ca="1">MAX(NORMINV(RAND(),'Collected Data'!M$4,'Collected Data'!M$5),0)</f>
        <v>167.26213267579107</v>
      </c>
    </row>
    <row r="92" spans="1:6">
      <c r="A92" s="18">
        <v>91</v>
      </c>
      <c r="B92" s="19">
        <f ca="1">MAX(NORMINV(RAND(),'Collected Data'!I$4,'Collected Data'!I$5),0)</f>
        <v>19.342362692395504</v>
      </c>
      <c r="C92" s="19">
        <f ca="1">MAX(NORMINV(RAND(),'Collected Data'!J$4,'Collected Data'!J$5),0)</f>
        <v>98.798838393368257</v>
      </c>
      <c r="D92" s="19">
        <f ca="1">MAX(NORMINV(RAND(),'Collected Data'!K$4,'Collected Data'!K$5),0)</f>
        <v>119.60177742121772</v>
      </c>
      <c r="E92" s="19">
        <f ca="1">MAX(NORMINV(RAND(),'Collected Data'!L$4,'Collected Data'!L$5),0)</f>
        <v>98.690836333724832</v>
      </c>
      <c r="F92" s="19">
        <f ca="1">MAX(NORMINV(RAND(),'Collected Data'!M$4,'Collected Data'!M$5),0)</f>
        <v>58.204109575614503</v>
      </c>
    </row>
    <row r="93" spans="1:6">
      <c r="A93" s="18">
        <v>92</v>
      </c>
      <c r="B93" s="19">
        <f ca="1">MAX(NORMINV(RAND(),'Collected Data'!I$4,'Collected Data'!I$5),0)</f>
        <v>16.397816406553119</v>
      </c>
      <c r="C93" s="19">
        <f ca="1">MAX(NORMINV(RAND(),'Collected Data'!J$4,'Collected Data'!J$5),0)</f>
        <v>123.07021366937681</v>
      </c>
      <c r="D93" s="19">
        <f ca="1">MAX(NORMINV(RAND(),'Collected Data'!K$4,'Collected Data'!K$5),0)</f>
        <v>39.504020289460207</v>
      </c>
      <c r="E93" s="19">
        <f ca="1">MAX(NORMINV(RAND(),'Collected Data'!L$4,'Collected Data'!L$5),0)</f>
        <v>90.57310483636013</v>
      </c>
      <c r="F93" s="19">
        <f ca="1">MAX(NORMINV(RAND(),'Collected Data'!M$4,'Collected Data'!M$5),0)</f>
        <v>120.29850811887447</v>
      </c>
    </row>
    <row r="94" spans="1:6">
      <c r="A94" s="18">
        <v>93</v>
      </c>
      <c r="B94" s="19">
        <f ca="1">MAX(NORMINV(RAND(),'Collected Data'!I$4,'Collected Data'!I$5),0)</f>
        <v>3.7886289031024614</v>
      </c>
      <c r="C94" s="19">
        <f ca="1">MAX(NORMINV(RAND(),'Collected Data'!J$4,'Collected Data'!J$5),0)</f>
        <v>82.216555105176241</v>
      </c>
      <c r="D94" s="19">
        <f ca="1">MAX(NORMINV(RAND(),'Collected Data'!K$4,'Collected Data'!K$5),0)</f>
        <v>128.34852418239882</v>
      </c>
      <c r="E94" s="19">
        <f ca="1">MAX(NORMINV(RAND(),'Collected Data'!L$4,'Collected Data'!L$5),0)</f>
        <v>66.768775645415431</v>
      </c>
      <c r="F94" s="19">
        <f ca="1">MAX(NORMINV(RAND(),'Collected Data'!M$4,'Collected Data'!M$5),0)</f>
        <v>100.21547870766727</v>
      </c>
    </row>
    <row r="95" spans="1:6">
      <c r="A95" s="18">
        <v>94</v>
      </c>
      <c r="B95" s="19">
        <f ca="1">MAX(NORMINV(RAND(),'Collected Data'!I$4,'Collected Data'!I$5),0)</f>
        <v>13.099396130370796</v>
      </c>
      <c r="C95" s="19">
        <f ca="1">MAX(NORMINV(RAND(),'Collected Data'!J$4,'Collected Data'!J$5),0)</f>
        <v>74.366101875697794</v>
      </c>
      <c r="D95" s="19">
        <f ca="1">MAX(NORMINV(RAND(),'Collected Data'!K$4,'Collected Data'!K$5),0)</f>
        <v>126.1897175585875</v>
      </c>
      <c r="E95" s="19">
        <f ca="1">MAX(NORMINV(RAND(),'Collected Data'!L$4,'Collected Data'!L$5),0)</f>
        <v>106.23777557314696</v>
      </c>
      <c r="F95" s="19">
        <f ca="1">MAX(NORMINV(RAND(),'Collected Data'!M$4,'Collected Data'!M$5),0)</f>
        <v>143.68609140639654</v>
      </c>
    </row>
    <row r="96" spans="1:6">
      <c r="A96" s="18">
        <v>95</v>
      </c>
      <c r="B96" s="19">
        <f ca="1">MAX(NORMINV(RAND(),'Collected Data'!I$4,'Collected Data'!I$5),0)</f>
        <v>28.235051776486422</v>
      </c>
      <c r="C96" s="19">
        <f ca="1">MAX(NORMINV(RAND(),'Collected Data'!J$4,'Collected Data'!J$5),0)</f>
        <v>121.70205716515642</v>
      </c>
      <c r="D96" s="19">
        <f ca="1">MAX(NORMINV(RAND(),'Collected Data'!K$4,'Collected Data'!K$5),0)</f>
        <v>39.513777533587174</v>
      </c>
      <c r="E96" s="19">
        <f ca="1">MAX(NORMINV(RAND(),'Collected Data'!L$4,'Collected Data'!L$5),0)</f>
        <v>105.30472924473452</v>
      </c>
      <c r="F96" s="19">
        <f ca="1">MAX(NORMINV(RAND(),'Collected Data'!M$4,'Collected Data'!M$5),0)</f>
        <v>110.05694639545067</v>
      </c>
    </row>
    <row r="97" spans="1:6">
      <c r="A97" s="18">
        <v>96</v>
      </c>
      <c r="B97" s="19">
        <f ca="1">MAX(NORMINV(RAND(),'Collected Data'!I$4,'Collected Data'!I$5),0)</f>
        <v>5.6410176681534683</v>
      </c>
      <c r="C97" s="19">
        <f ca="1">MAX(NORMINV(RAND(),'Collected Data'!J$4,'Collected Data'!J$5),0)</f>
        <v>95.484902537629608</v>
      </c>
      <c r="D97" s="19">
        <f ca="1">MAX(NORMINV(RAND(),'Collected Data'!K$4,'Collected Data'!K$5),0)</f>
        <v>47.556144937147046</v>
      </c>
      <c r="E97" s="19">
        <f ca="1">MAX(NORMINV(RAND(),'Collected Data'!L$4,'Collected Data'!L$5),0)</f>
        <v>164.91776337579074</v>
      </c>
      <c r="F97" s="19">
        <f ca="1">MAX(NORMINV(RAND(),'Collected Data'!M$4,'Collected Data'!M$5),0)</f>
        <v>99.422077749658627</v>
      </c>
    </row>
    <row r="98" spans="1:6">
      <c r="A98" s="18">
        <v>97</v>
      </c>
      <c r="B98" s="19">
        <f ca="1">MAX(NORMINV(RAND(),'Collected Data'!I$4,'Collected Data'!I$5),0)</f>
        <v>18.106558861778812</v>
      </c>
      <c r="C98" s="19">
        <f ca="1">MAX(NORMINV(RAND(),'Collected Data'!J$4,'Collected Data'!J$5),0)</f>
        <v>76.155743577067994</v>
      </c>
      <c r="D98" s="19">
        <f ca="1">MAX(NORMINV(RAND(),'Collected Data'!K$4,'Collected Data'!K$5),0)</f>
        <v>198.24578412431345</v>
      </c>
      <c r="E98" s="19">
        <f ca="1">MAX(NORMINV(RAND(),'Collected Data'!L$4,'Collected Data'!L$5),0)</f>
        <v>24.625426661405015</v>
      </c>
      <c r="F98" s="19">
        <f ca="1">MAX(NORMINV(RAND(),'Collected Data'!M$4,'Collected Data'!M$5),0)</f>
        <v>83.890598210694975</v>
      </c>
    </row>
    <row r="99" spans="1:6">
      <c r="A99" s="18">
        <v>98</v>
      </c>
      <c r="B99" s="19">
        <f ca="1">MAX(NORMINV(RAND(),'Collected Data'!I$4,'Collected Data'!I$5),0)</f>
        <v>17.656192015380764</v>
      </c>
      <c r="C99" s="19">
        <f ca="1">MAX(NORMINV(RAND(),'Collected Data'!J$4,'Collected Data'!J$5),0)</f>
        <v>93.896366349603156</v>
      </c>
      <c r="D99" s="19">
        <f ca="1">MAX(NORMINV(RAND(),'Collected Data'!K$4,'Collected Data'!K$5),0)</f>
        <v>68.809611595986468</v>
      </c>
      <c r="E99" s="19">
        <f ca="1">MAX(NORMINV(RAND(),'Collected Data'!L$4,'Collected Data'!L$5),0)</f>
        <v>25.998594388969039</v>
      </c>
      <c r="F99" s="19">
        <f ca="1">MAX(NORMINV(RAND(),'Collected Data'!M$4,'Collected Data'!M$5),0)</f>
        <v>101.89589841428531</v>
      </c>
    </row>
    <row r="100" spans="1:6">
      <c r="A100" s="18">
        <v>99</v>
      </c>
      <c r="B100" s="19">
        <f ca="1">MAX(NORMINV(RAND(),'Collected Data'!I$4,'Collected Data'!I$5),0)</f>
        <v>14.675811973761764</v>
      </c>
      <c r="C100" s="19">
        <f ca="1">MAX(NORMINV(RAND(),'Collected Data'!J$4,'Collected Data'!J$5),0)</f>
        <v>132.38504332547919</v>
      </c>
      <c r="D100" s="19">
        <f ca="1">MAX(NORMINV(RAND(),'Collected Data'!K$4,'Collected Data'!K$5),0)</f>
        <v>106.04403674208434</v>
      </c>
      <c r="E100" s="19">
        <f ca="1">MAX(NORMINV(RAND(),'Collected Data'!L$4,'Collected Data'!L$5),0)</f>
        <v>86.115839874517121</v>
      </c>
      <c r="F100" s="19">
        <f ca="1">MAX(NORMINV(RAND(),'Collected Data'!M$4,'Collected Data'!M$5),0)</f>
        <v>2.3202509687088337</v>
      </c>
    </row>
    <row r="101" spans="1:6">
      <c r="A101" s="18">
        <v>100</v>
      </c>
      <c r="B101" s="19">
        <f ca="1">MAX(NORMINV(RAND(),'Collected Data'!I$4,'Collected Data'!I$5),0)</f>
        <v>31.312927939092788</v>
      </c>
      <c r="C101" s="19">
        <f ca="1">MAX(NORMINV(RAND(),'Collected Data'!J$4,'Collected Data'!J$5),0)</f>
        <v>85.24941570833272</v>
      </c>
      <c r="D101" s="19">
        <f ca="1">MAX(NORMINV(RAND(),'Collected Data'!K$4,'Collected Data'!K$5),0)</f>
        <v>89.7657956224065</v>
      </c>
      <c r="E101" s="19">
        <f ca="1">MAX(NORMINV(RAND(),'Collected Data'!L$4,'Collected Data'!L$5),0)</f>
        <v>122.05360435474071</v>
      </c>
      <c r="F101" s="19">
        <f ca="1">MAX(NORMINV(RAND(),'Collected Data'!M$4,'Collected Data'!M$5),0)</f>
        <v>48.69229933240436</v>
      </c>
    </row>
  </sheetData>
  <mergeCells count="1">
    <mergeCell ref="H1:M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Collected Data</vt:lpstr>
      <vt:lpstr>NEW DATA FORMAT</vt:lpstr>
      <vt:lpstr>ANOVA</vt:lpstr>
      <vt:lpstr>Simulated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 Guzman, Antonio</cp:lastModifiedBy>
  <dcterms:modified xsi:type="dcterms:W3CDTF">2026-04-16T00:25:59Z</dcterms:modified>
</cp:coreProperties>
</file>